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Samsung\Documents\DOCUMENTOS DIAS\Fernanda\"/>
    </mc:Choice>
  </mc:AlternateContent>
  <bookViews>
    <workbookView xWindow="0" yWindow="0" windowWidth="20490" windowHeight="7695" tabRatio="25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2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3" l="1"/>
  <c r="D26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<sst xmlns="http://schemas.openxmlformats.org/spreadsheetml/2006/main" count="2021" uniqueCount="323">
  <si>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</si>
  <si>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</si>
  <si>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</si>
  <si>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</si>
  <si>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</si>
  <si>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</si>
  <si>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</si>
  <si>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</si>
  <si>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</si>
  <si>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</si>
  <si>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</si>
  <si>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</si>
  <si>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</si>
  <si>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</si>
  <si>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</si>
  <si>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</si>
  <si>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</si>
  <si>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</si>
  <si>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</si>
  <si>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</si>
  <si>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</si>
  <si>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</si>
  <si>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</si>
  <si>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</si>
  <si>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</si>
  <si>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</si>
  <si>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</si>
  <si>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</si>
  <si>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</si>
  <si>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</si>
  <si>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</si>
  <si>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</si>
  <si>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</si>
  <si>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</si>
  <si>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</si>
  <si>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</si>
  <si>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</si>
  <si>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</si>
  <si>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</si>
  <si>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</si>
  <si>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</si>
  <si>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</si>
  <si>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</si>
  <si>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</si>
  <si>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</si>
  <si>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</si>
  <si>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</si>
  <si>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</si>
  <si>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</si>
  <si>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</si>
  <si>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</si>
  <si>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</si>
  <si>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</si>
  <si>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</si>
  <si>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</si>
  <si>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</si>
  <si>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</si>
  <si>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</si>
  <si>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</si>
  <si>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</si>
  <si>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</si>
  <si>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</si>
  <si>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</si>
  <si>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</si>
  <si>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</si>
  <si>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</si>
  <si>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</si>
  <si>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</si>
  <si>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</si>
  <si>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</si>
  <si>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</si>
  <si>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</si>
  <si>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</si>
  <si>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</si>
  <si>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</si>
  <si>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</si>
  <si>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</si>
  <si>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</si>
  <si>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</si>
  <si>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</si>
  <si>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</si>
  <si>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</si>
  <si>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</si>
  <si>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</si>
  <si>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</si>
  <si>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</si>
  <si>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</si>
  <si>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</si>
  <si>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</si>
  <si>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</si>
  <si>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</si>
  <si>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</si>
  <si>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</si>
  <si>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</si>
  <si>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</si>
  <si>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</si>
  <si>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</si>
  <si>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</si>
  <si>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</si>
  <si>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</si>
  <si>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</si>
  <si>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</si>
  <si>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</si>
  <si>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</si>
  <si>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</si>
  <si>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</si>
  <si>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</si>
  <si>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</si>
  <si>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</si>
  <si>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</si>
  <si>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</si>
  <si>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</si>
  <si>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</si>
  <si>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</si>
  <si>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</si>
  <si>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</si>
  <si>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</si>
  <si>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</si>
  <si>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</si>
  <si>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</si>
  <si>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</si>
  <si>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</si>
  <si>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</si>
  <si>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</si>
  <si>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</si>
  <si>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</si>
  <si>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</si>
  <si>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</si>
  <si>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</si>
  <si>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</si>
  <si>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</si>
  <si>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</si>
  <si>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</si>
  <si>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</si>
  <si>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</si>
  <si>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</si>
  <si>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</si>
  <si>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</si>
  <si>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</si>
  <si>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</si>
  <si>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</si>
  <si>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</si>
  <si>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</si>
  <si>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</si>
  <si>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</si>
  <si>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</si>
  <si>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</si>
  <si>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</si>
  <si>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</si>
  <si>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</si>
  <si>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</si>
  <si>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</si>
  <si>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</si>
  <si>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</si>
  <si>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</si>
  <si>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</si>
  <si>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</si>
  <si>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</si>
  <si>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</si>
  <si>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</si>
  <si>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</si>
  <si>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</si>
  <si>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</si>
  <si>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</si>
  <si>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</si>
  <si>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</si>
  <si>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</si>
  <si>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</si>
  <si>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</si>
  <si>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</si>
  <si>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</si>
  <si>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</si>
  <si>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</si>
  <si>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</si>
  <si>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</si>
  <si>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</si>
  <si>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</si>
  <si>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</si>
  <si>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</si>
  <si>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</si>
  <si>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</si>
  <si>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</si>
  <si>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</si>
  <si>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</si>
  <si>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</si>
  <si>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</si>
  <si>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</si>
  <si>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</si>
  <si>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</si>
  <si>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</si>
  <si>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</si>
  <si>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</si>
  <si>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</si>
  <si>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</si>
  <si>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</si>
  <si>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</si>
  <si>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</si>
  <si>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</si>
  <si>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</si>
  <si>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</si>
  <si>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</si>
  <si>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</si>
  <si>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</si>
  <si>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</si>
  <si>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</si>
  <si>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</si>
  <si>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</si>
  <si>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</si>
  <si>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</si>
  <si>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</si>
  <si>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</si>
  <si>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</si>
  <si>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</si>
  <si>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</si>
  <si>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</si>
  <si>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</si>
  <si>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</si>
  <si>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</si>
  <si>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</si>
  <si>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</si>
  <si>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</si>
  <si>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</si>
  <si>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</si>
  <si>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</si>
  <si>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</si>
  <si>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</si>
  <si>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</si>
  <si>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</si>
  <si>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</si>
  <si>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</si>
  <si>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</si>
  <si>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</si>
  <si>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</si>
  <si>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</si>
  <si>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</si>
  <si>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</si>
  <si>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</si>
  <si>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</si>
  <si>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</si>
  <si>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</si>
  <si>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</si>
  <si>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</si>
  <si>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</si>
  <si>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</si>
  <si>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</si>
  <si>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</si>
  <si>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</si>
  <si>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</si>
  <si>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</si>
  <si>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</si>
  <si>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</si>
  <si>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</si>
  <si>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</si>
  <si>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</si>
  <si>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</si>
  <si>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</si>
  <si>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</si>
  <si>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</si>
  <si>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</si>
  <si>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</si>
  <si>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</si>
  <si>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</si>
  <si>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</si>
  <si>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</si>
  <si>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</si>
  <si>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</si>
  <si>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</si>
  <si>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</si>
  <si>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</si>
  <si>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</si>
  <si>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</si>
  <si>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</si>
  <si>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</si>
  <si>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</si>
  <si>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</si>
  <si>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</si>
  <si>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</si>
  <si>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</si>
  <si>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</si>
  <si>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</si>
  <si>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</si>
  <si>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</si>
  <si>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</si>
  <si>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</si>
  <si>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</si>
  <si>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</si>
  <si>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</si>
  <si>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</si>
  <si>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</si>
  <si>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</si>
  <si>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</si>
  <si>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</si>
  <si>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</si>
  <si>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</si>
  <si>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</si>
  <si>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</si>
  <si>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</si>
  <si>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</si>
  <si>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</si>
  <si>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</si>
  <si>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</si>
  <si>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</si>
  <si>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</si>
  <si>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</si>
  <si>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</si>
  <si>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</si>
  <si>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</si>
  <si>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</si>
  <si>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</si>
  <si>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</si>
  <si>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</si>
  <si>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</si>
  <si>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</si>
  <si>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especifica</t>
  </si>
  <si>
    <t>Rótulos de Linha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</si>
  <si>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</si>
  <si>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</si>
  <si>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agregadas]</t>
    </r>
  </si>
  <si>
    <r>
      <t>Pergunta de Negócio 2 - Qual Faturamento</t>
    </r>
    <r>
      <rPr>
        <b/>
        <sz val="11"/>
        <color theme="1"/>
        <rFont val="Aptos Narrow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planos anuais, separado </t>
    </r>
    <r>
      <rPr>
        <b/>
        <sz val="11"/>
        <color theme="1"/>
        <rFont val="Aptos Narrow"/>
        <scheme val="minor"/>
      </rPr>
      <t xml:space="preserve">por auto renovação </t>
    </r>
    <r>
      <rPr>
        <sz val="11"/>
        <color theme="1"/>
        <rFont val="Aptos Narrow"/>
        <family val="2"/>
        <scheme val="minor"/>
      </rPr>
      <t>não é por auto renovação?</t>
    </r>
  </si>
  <si>
    <t>XBOX GAME PASS SUBSCRIPTIONS SALES</t>
  </si>
  <si>
    <t>Soma de EA Play Season Pass</t>
  </si>
  <si>
    <t>Pergunta 4 - Total de assinaturas do minecraft do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</si>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</sst>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Segoe UI"/>
      <family val="2"/>
    </font>
    <font>
      <u/>
      <sz val="11"/>
      <color theme="1"/>
      <name val="Aptos Narrow"/>
      <family val="2"/>
      <scheme val="minor"/>
    </font>
    <font>
      <b/>
      <sz val="24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4" fillId="8" borderId="0" xfId="3"/>
    <xf numFmtId="0" fontId="6" fillId="7" borderId="0" xfId="0" applyFont="1" applyFill="1"/>
    <xf numFmtId="0" fontId="1" fillId="0" borderId="2" xfId="1" applyBorder="1"/>
    <xf numFmtId="0" fontId="7" fillId="7" borderId="0" xfId="0" applyFont="1" applyFill="1"/>
    <xf numFmtId="0" fontId="0" fillId="7" borderId="0" xfId="0" applyFont="1" applyFill="1"/>
    <xf numFmtId="0" fontId="1" fillId="4" borderId="2" xfId="1" applyFill="1" applyBorder="1"/>
    <xf numFmtId="0" fontId="8" fillId="0" borderId="2" xfId="1" applyFont="1" applyBorder="1"/>
    <xf numFmtId="0" fontId="0" fillId="7" borderId="0" xfId="0" applyFill="1" applyAlignment="1">
      <alignment wrapText="1"/>
    </xf>
    <xf numFmtId="0" fontId="7" fillId="0" borderId="0" xfId="0" applyFont="1"/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21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20"/>
      <tableStyleElement type="headerRow" dxfId="19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[dashboard_xbox_dio.xlsx]C̳álculos!Tabela dinâmica1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1.2737588976535373E-16"/>
              <c:y val="-4.06865454079466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1.4018279523460939E-3"/>
              <c:y val="2.1419011177013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498335233228759"/>
                  <c:h val="7.8522094974931331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2932884591931961E-2"/>
          <c:y val="6.8186663140681419E-2"/>
          <c:w val="0.86702278771444963"/>
          <c:h val="0.796777549166351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737588976535373E-16"/>
                  <c:y val="-4.06865454079466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731-4645-A3FF-4280FE82E5F9}"/>
                </c:ext>
              </c:extLst>
            </c:dLbl>
            <c:dLbl>
              <c:idx val="1"/>
              <c:layout>
                <c:manualLayout>
                  <c:x val="-1.4018279523460939E-3"/>
                  <c:y val="2.1419011177013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498335233228759"/>
                      <c:h val="7.852209497493133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731-4645-A3FF-4280FE82E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9-421E-81EC-FBB159F05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719992"/>
        <c:axId val="237762784"/>
      </c:barChart>
      <c:catAx>
        <c:axId val="398719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7762784"/>
        <c:crosses val="autoZero"/>
        <c:auto val="1"/>
        <c:lblAlgn val="ctr"/>
        <c:lblOffset val="100"/>
        <c:noMultiLvlLbl val="0"/>
      </c:catAx>
      <c:valAx>
        <c:axId val="23776278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98719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47624</xdr:rowOff>
    </xdr:from>
    <xdr:to>
      <xdr:col>0</xdr:col>
      <xdr:colOff>1119187</xdr:colOff>
      <xdr:row>3</xdr:row>
      <xdr:rowOff>47624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9101" r="71300"/>
        <a:stretch/>
      </xdr:blipFill>
      <xdr:spPr>
        <a:xfrm>
          <a:off x="0" y="47624"/>
          <a:ext cx="1119187" cy="9763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23814</xdr:rowOff>
    </xdr:from>
    <xdr:to>
      <xdr:col>0</xdr:col>
      <xdr:colOff>1559719</xdr:colOff>
      <xdr:row>13</xdr:row>
      <xdr:rowOff>40483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14439"/>
              <a:ext cx="1559719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47623</xdr:colOff>
      <xdr:row>4</xdr:row>
      <xdr:rowOff>95250</xdr:rowOff>
    </xdr:from>
    <xdr:to>
      <xdr:col>7</xdr:col>
      <xdr:colOff>309562</xdr:colOff>
      <xdr:row>14</xdr:row>
      <xdr:rowOff>35719</xdr:rowOff>
    </xdr:to>
    <xdr:grpSp>
      <xdr:nvGrpSpPr>
        <xdr:cNvPr id="11" name="Agrupar 10"/>
        <xdr:cNvGrpSpPr/>
      </xdr:nvGrpSpPr>
      <xdr:grpSpPr>
        <a:xfrm>
          <a:off x="1916904" y="1178719"/>
          <a:ext cx="3714752" cy="1476375"/>
          <a:chOff x="2274092" y="895533"/>
          <a:chExt cx="3655221" cy="1228906"/>
        </a:xfrm>
      </xdr:grpSpPr>
      <xdr:sp macro="" textlink="">
        <xdr:nvSpPr>
          <xdr:cNvPr id="3" name="Retângulo Arredondado 2"/>
          <xdr:cNvSpPr/>
        </xdr:nvSpPr>
        <xdr:spPr>
          <a:xfrm>
            <a:off x="2297906" y="1107280"/>
            <a:ext cx="3631406" cy="1012032"/>
          </a:xfrm>
          <a:prstGeom prst="roundRect">
            <a:avLst>
              <a:gd name="adj" fmla="val 2222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6">
        <xdr:nvSpPr>
          <xdr:cNvPr id="8" name="Retângulo Arredondado 7"/>
          <xdr:cNvSpPr/>
        </xdr:nvSpPr>
        <xdr:spPr>
          <a:xfrm>
            <a:off x="3426619" y="1382497"/>
            <a:ext cx="2371725" cy="681037"/>
          </a:xfrm>
          <a:prstGeom prst="roundRect">
            <a:avLst>
              <a:gd name="adj" fmla="val 22223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1D46BB7-08F7-4D19-95A2-0F85208F573B}" type="TxLink">
              <a:rPr lang="en-US" sz="2000" b="1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</a:rPr>
              <a:pPr algn="ctr"/>
              <a:t>R$ 990,00</a:t>
            </a:fld>
            <a:endParaRPr lang="en-US" sz="2000" b="1">
              <a:solidFill>
                <a:schemeClr val="accent6">
                  <a:lumMod val="75000"/>
                </a:schemeClr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93156" y="1321592"/>
            <a:ext cx="955454" cy="802847"/>
          </a:xfrm>
          <a:prstGeom prst="rect">
            <a:avLst/>
          </a:prstGeom>
        </xdr:spPr>
      </xdr:pic>
      <xdr:sp macro="" textlink="">
        <xdr:nvSpPr>
          <xdr:cNvPr id="4" name="Arredondar Retângulo no Mesmo Canto Lateral 3"/>
          <xdr:cNvSpPr/>
        </xdr:nvSpPr>
        <xdr:spPr>
          <a:xfrm>
            <a:off x="2274092" y="895533"/>
            <a:ext cx="3655221" cy="45093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</a:p>
          <a:p>
            <a:pPr algn="l"/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261940</xdr:colOff>
      <xdr:row>4</xdr:row>
      <xdr:rowOff>95250</xdr:rowOff>
    </xdr:from>
    <xdr:to>
      <xdr:col>14</xdr:col>
      <xdr:colOff>35721</xdr:colOff>
      <xdr:row>14</xdr:row>
      <xdr:rowOff>35719</xdr:rowOff>
    </xdr:to>
    <xdr:grpSp>
      <xdr:nvGrpSpPr>
        <xdr:cNvPr id="20" name="Agrupar 19"/>
        <xdr:cNvGrpSpPr/>
      </xdr:nvGrpSpPr>
      <xdr:grpSpPr>
        <a:xfrm>
          <a:off x="6274596" y="1178719"/>
          <a:ext cx="3726656" cy="1476375"/>
          <a:chOff x="8084344" y="1428750"/>
          <a:chExt cx="3655221" cy="1023935"/>
        </a:xfrm>
      </xdr:grpSpPr>
      <xdr:grpSp>
        <xdr:nvGrpSpPr>
          <xdr:cNvPr id="12" name="Agrupar 11"/>
          <xdr:cNvGrpSpPr/>
        </xdr:nvGrpSpPr>
        <xdr:grpSpPr>
          <a:xfrm>
            <a:off x="8084344" y="1428750"/>
            <a:ext cx="3655221" cy="1023935"/>
            <a:chOff x="2274092" y="1095377"/>
            <a:chExt cx="3655221" cy="1023935"/>
          </a:xfrm>
        </xdr:grpSpPr>
        <xdr:sp macro="" textlink="">
          <xdr:nvSpPr>
            <xdr:cNvPr id="13" name="Retângulo Arredondado 12"/>
            <xdr:cNvSpPr/>
          </xdr:nvSpPr>
          <xdr:spPr>
            <a:xfrm>
              <a:off x="2297906" y="1107280"/>
              <a:ext cx="3631406" cy="1012032"/>
            </a:xfrm>
            <a:prstGeom prst="roundRect">
              <a:avLst>
                <a:gd name="adj" fmla="val 2222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40">
          <xdr:nvSpPr>
            <xdr:cNvPr id="14" name="Retângulo Arredondado 13"/>
            <xdr:cNvSpPr/>
          </xdr:nvSpPr>
          <xdr:spPr>
            <a:xfrm>
              <a:off x="3438525" y="1430122"/>
              <a:ext cx="2371725" cy="681037"/>
            </a:xfrm>
            <a:prstGeom prst="roundRect">
              <a:avLst>
                <a:gd name="adj" fmla="val 2222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FE6B006-3EE2-427F-8404-838D2B7AA159}" type="TxLink">
                <a:rPr lang="en-US" sz="20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</a:rPr>
                <a:t>R$ 1.140,00</a:t>
              </a:fld>
              <a:endParaRPr lang="en-US" sz="4000" b="1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6" name="Arredondar Retângulo no Mesmo Canto Lateral 15"/>
            <xdr:cNvSpPr/>
          </xdr:nvSpPr>
          <xdr:spPr>
            <a:xfrm>
              <a:off x="2274092" y="1095377"/>
              <a:ext cx="3655221" cy="342688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</a:t>
              </a:r>
            </a:p>
            <a:p>
              <a:pPr algn="ctr"/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</a:p>
            <a:p>
              <a:pPr algn="l"/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227219" y="1842777"/>
            <a:ext cx="988218" cy="490845"/>
            <a:chOff x="3495675" y="5448117"/>
            <a:chExt cx="1549476" cy="705033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61988" y="5448117"/>
              <a:ext cx="555497" cy="514294"/>
            </a:xfrm>
            <a:prstGeom prst="rect">
              <a:avLst/>
            </a:prstGeom>
          </xdr:spPr>
        </xdr:pic>
        <xdr:pic>
          <xdr:nvPicPr>
            <xdr:cNvPr id="19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71492</xdr:colOff>
      <xdr:row>15</xdr:row>
      <xdr:rowOff>139776</xdr:rowOff>
    </xdr:from>
    <xdr:to>
      <xdr:col>14</xdr:col>
      <xdr:colOff>321469</xdr:colOff>
      <xdr:row>33</xdr:row>
      <xdr:rowOff>95251</xdr:rowOff>
    </xdr:to>
    <xdr:grpSp>
      <xdr:nvGrpSpPr>
        <xdr:cNvPr id="26" name="Agrupar 25"/>
        <xdr:cNvGrpSpPr/>
      </xdr:nvGrpSpPr>
      <xdr:grpSpPr>
        <a:xfrm>
          <a:off x="1940773" y="2937745"/>
          <a:ext cx="8346227" cy="3170162"/>
          <a:chOff x="1940773" y="2830589"/>
          <a:chExt cx="8346227" cy="3170162"/>
        </a:xfrm>
      </xdr:grpSpPr>
      <xdr:grpSp>
        <xdr:nvGrpSpPr>
          <xdr:cNvPr id="9" name="Agrupar 8"/>
          <xdr:cNvGrpSpPr/>
        </xdr:nvGrpSpPr>
        <xdr:grpSpPr>
          <a:xfrm>
            <a:off x="1952678" y="2854402"/>
            <a:ext cx="8322414" cy="3146349"/>
            <a:chOff x="2377078" y="1300747"/>
            <a:chExt cx="4333821" cy="2631779"/>
          </a:xfrm>
        </xdr:grpSpPr>
        <xdr:sp macro="" textlink="">
          <xdr:nvSpPr>
            <xdr:cNvPr id="7" name="Retângulo Arredondado 6"/>
            <xdr:cNvSpPr/>
          </xdr:nvSpPr>
          <xdr:spPr>
            <a:xfrm>
              <a:off x="2377078" y="1300747"/>
              <a:ext cx="4333821" cy="2289099"/>
            </a:xfrm>
            <a:prstGeom prst="roundRect">
              <a:avLst>
                <a:gd name="adj" fmla="val 1369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Gráfico 5"/>
            <xdr:cNvGraphicFramePr>
              <a:graphicFrameLocks/>
            </xdr:cNvGraphicFramePr>
          </xdr:nvGraphicFramePr>
          <xdr:xfrm>
            <a:off x="2680854" y="1452725"/>
            <a:ext cx="4005246" cy="24798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5" name="Arredondar Retângulo no Mesmo Canto Lateral 24"/>
          <xdr:cNvSpPr/>
        </xdr:nvSpPr>
        <xdr:spPr>
          <a:xfrm>
            <a:off x="1940773" y="2830589"/>
            <a:ext cx="8346227" cy="38409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</a:p>
          <a:p>
            <a:pPr algn="l"/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59530</xdr:colOff>
      <xdr:row>2</xdr:row>
      <xdr:rowOff>23814</xdr:rowOff>
    </xdr:from>
    <xdr:to>
      <xdr:col>11</xdr:col>
      <xdr:colOff>261936</xdr:colOff>
      <xdr:row>4</xdr:row>
      <xdr:rowOff>59531</xdr:rowOff>
    </xdr:to>
    <xdr:sp macro="" textlink="">
      <xdr:nvSpPr>
        <xdr:cNvPr id="27" name="CaixaDeTexto 26"/>
        <xdr:cNvSpPr txBox="1"/>
      </xdr:nvSpPr>
      <xdr:spPr>
        <a:xfrm>
          <a:off x="1928811" y="892970"/>
          <a:ext cx="6417469" cy="25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>
                  <a:lumMod val="50000"/>
                </a:schemeClr>
              </a:solidFill>
            </a:rPr>
            <a:t>Calculation period</a:t>
          </a:r>
          <a:r>
            <a:rPr lang="pt-BR" sz="1100" b="1" baseline="0">
              <a:solidFill>
                <a:schemeClr val="bg1">
                  <a:lumMod val="50000"/>
                </a:schemeClr>
              </a:solidFill>
            </a:rPr>
            <a:t>: 01.01.24 à 12.12.24 | Update date: 17.10.2024 00:32</a:t>
          </a:r>
        </a:p>
        <a:p>
          <a:endParaRPr lang="pt-BR" sz="1100" b="1" baseline="0"/>
        </a:p>
        <a:p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msung" refreshedDate="46311.941039004632" createdVersion="6" refreshedVersion="6" minRefreshableVersion="3" recordCount="293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3">
  <r>
    <n v="3231"/>
    <s v="João Silva"/>
    <x v="0"/>
    <d v="2024-01-01T00:00:00"/>
    <x v="0"/>
    <n v="15"/>
    <x v="0"/>
    <s v="Yes"/>
    <x v="0"/>
    <s v="Yes"/>
    <n v="20"/>
    <n v="5"/>
    <x v="0"/>
  </r>
  <r>
    <n v="3232"/>
    <s v="Maria Oliveira"/>
    <x v="1"/>
    <d v="2024-01-15T00:00:00"/>
    <x v="1"/>
    <n v="5"/>
    <x v="1"/>
    <s v="No"/>
    <x v="1"/>
    <s v="No"/>
    <n v="0"/>
    <n v="0"/>
    <x v="1"/>
  </r>
  <r>
    <n v="3233"/>
    <s v="Lucas Fernandes"/>
    <x v="2"/>
    <d v="2024-02-10T00:00:00"/>
    <x v="0"/>
    <n v="10"/>
    <x v="2"/>
    <s v="No"/>
    <x v="1"/>
    <s v="Yes"/>
    <n v="20"/>
    <n v="10"/>
    <x v="2"/>
  </r>
  <r>
    <n v="3234"/>
    <s v="Ana Souza"/>
    <x v="0"/>
    <d v="2024-02-20T00:00:00"/>
    <x v="1"/>
    <n v="15"/>
    <x v="0"/>
    <s v="Yes"/>
    <x v="0"/>
    <s v="Yes"/>
    <n v="20"/>
    <n v="3"/>
    <x v="3"/>
  </r>
  <r>
    <n v="3235"/>
    <s v="Pedro Gonçalves"/>
    <x v="1"/>
    <d v="2024-03-05T00:00:00"/>
    <x v="0"/>
    <n v="5"/>
    <x v="0"/>
    <s v="No"/>
    <x v="1"/>
    <s v="No"/>
    <n v="0"/>
    <n v="1"/>
    <x v="4"/>
  </r>
  <r>
    <n v="3236"/>
    <s v="Felipe Costa"/>
    <x v="2"/>
    <d v="2024-03-02T00:00:00"/>
    <x v="1"/>
    <n v="10"/>
    <x v="0"/>
    <s v="No"/>
    <x v="1"/>
    <s v="Yes"/>
    <n v="20"/>
    <n v="2"/>
    <x v="5"/>
  </r>
  <r>
    <n v="3237"/>
    <s v="Camila Ribeiro"/>
    <x v="0"/>
    <d v="2024-03-03T00:00:00"/>
    <x v="0"/>
    <n v="15"/>
    <x v="2"/>
    <s v="Yes"/>
    <x v="0"/>
    <s v="Yes"/>
    <n v="20"/>
    <n v="10"/>
    <x v="6"/>
  </r>
  <r>
    <n v="3238"/>
    <s v="André Mendes"/>
    <x v="1"/>
    <d v="2024-03-04T00:00:00"/>
    <x v="0"/>
    <n v="5"/>
    <x v="1"/>
    <s v="No"/>
    <x v="1"/>
    <s v="No"/>
    <n v="0"/>
    <n v="0"/>
    <x v="1"/>
  </r>
  <r>
    <n v="3239"/>
    <s v="Sofia Almeida"/>
    <x v="0"/>
    <d v="2024-03-05T00:00:00"/>
    <x v="1"/>
    <n v="15"/>
    <x v="0"/>
    <s v="Yes"/>
    <x v="0"/>
    <s v="Yes"/>
    <n v="20"/>
    <n v="5"/>
    <x v="0"/>
  </r>
  <r>
    <n v="3240"/>
    <s v="Bruno Martins"/>
    <x v="2"/>
    <d v="2024-03-06T00:00:00"/>
    <x v="0"/>
    <n v="10"/>
    <x v="2"/>
    <s v="No"/>
    <x v="1"/>
    <s v="Yes"/>
    <n v="20"/>
    <n v="15"/>
    <x v="7"/>
  </r>
  <r>
    <n v="3241"/>
    <s v="Rita Castro"/>
    <x v="1"/>
    <d v="2024-03-07T00:00:00"/>
    <x v="1"/>
    <n v="5"/>
    <x v="0"/>
    <s v="No"/>
    <x v="1"/>
    <s v="No"/>
    <n v="0"/>
    <n v="1"/>
    <x v="4"/>
  </r>
  <r>
    <n v="3242"/>
    <s v="Marco Túlio"/>
    <x v="0"/>
    <d v="2024-03-08T00:00:00"/>
    <x v="0"/>
    <n v="15"/>
    <x v="1"/>
    <s v="Yes"/>
    <x v="0"/>
    <s v="Yes"/>
    <n v="20"/>
    <n v="20"/>
    <x v="8"/>
  </r>
  <r>
    <n v="3243"/>
    <s v="Lívia Silveira"/>
    <x v="2"/>
    <d v="2024-03-09T00:00:00"/>
    <x v="1"/>
    <n v="10"/>
    <x v="0"/>
    <s v="No"/>
    <x v="1"/>
    <s v="Yes"/>
    <n v="20"/>
    <n v="10"/>
    <x v="2"/>
  </r>
  <r>
    <n v="3244"/>
    <s v="Diogo Sousa"/>
    <x v="1"/>
    <d v="2024-03-10T00:00:00"/>
    <x v="0"/>
    <n v="5"/>
    <x v="2"/>
    <s v="No"/>
    <x v="1"/>
    <s v="No"/>
    <n v="0"/>
    <n v="0"/>
    <x v="1"/>
  </r>
  <r>
    <n v="3245"/>
    <s v="Fernanda Lima"/>
    <x v="0"/>
    <d v="2024-03-11T00:00:00"/>
    <x v="1"/>
    <n v="15"/>
    <x v="0"/>
    <s v="Yes"/>
    <x v="0"/>
    <s v="Yes"/>
    <n v="20"/>
    <n v="8"/>
    <x v="9"/>
  </r>
  <r>
    <n v="3246"/>
    <s v="Caio Pereira"/>
    <x v="2"/>
    <d v="2024-03-12T00:00:00"/>
    <x v="0"/>
    <n v="10"/>
    <x v="1"/>
    <s v="No"/>
    <x v="1"/>
    <s v="Yes"/>
    <n v="20"/>
    <n v="12"/>
    <x v="10"/>
  </r>
  <r>
    <n v="3247"/>
    <s v="Beatriz Gomes"/>
    <x v="1"/>
    <d v="2024-03-13T00:00:00"/>
    <x v="1"/>
    <n v="5"/>
    <x v="0"/>
    <s v="No"/>
    <x v="1"/>
    <s v="No"/>
    <n v="0"/>
    <n v="2"/>
    <x v="11"/>
  </r>
  <r>
    <n v="3248"/>
    <s v="Cesar Oliveira"/>
    <x v="0"/>
    <d v="2024-03-14T00:00:00"/>
    <x v="0"/>
    <n v="15"/>
    <x v="2"/>
    <s v="Yes"/>
    <x v="0"/>
    <s v="Yes"/>
    <n v="20"/>
    <n v="7"/>
    <x v="12"/>
  </r>
  <r>
    <n v="3249"/>
    <s v="Débora Machado"/>
    <x v="2"/>
    <d v="2024-03-15T00:00:00"/>
    <x v="1"/>
    <n v="10"/>
    <x v="0"/>
    <s v="No"/>
    <x v="1"/>
    <s v="Yes"/>
    <n v="20"/>
    <n v="5"/>
    <x v="13"/>
  </r>
  <r>
    <n v="3250"/>
    <s v="Eduardo Vargas"/>
    <x v="1"/>
    <d v="2024-03-16T00:00:00"/>
    <x v="0"/>
    <n v="5"/>
    <x v="1"/>
    <s v="No"/>
    <x v="1"/>
    <s v="No"/>
    <n v="0"/>
    <n v="0"/>
    <x v="1"/>
  </r>
  <r>
    <n v="3251"/>
    <s v="Gabriela Santos"/>
    <x v="0"/>
    <d v="2024-03-17T00:00:00"/>
    <x v="1"/>
    <n v="15"/>
    <x v="0"/>
    <s v="Yes"/>
    <x v="0"/>
    <s v="Yes"/>
    <n v="20"/>
    <n v="3"/>
    <x v="3"/>
  </r>
  <r>
    <n v="3252"/>
    <s v="Henrique Dias"/>
    <x v="2"/>
    <d v="2024-03-18T00:00:00"/>
    <x v="0"/>
    <n v="10"/>
    <x v="2"/>
    <s v="No"/>
    <x v="1"/>
    <s v="Yes"/>
    <n v="20"/>
    <n v="15"/>
    <x v="7"/>
  </r>
  <r>
    <n v="3253"/>
    <s v="Isabela Moreira"/>
    <x v="1"/>
    <d v="2024-03-19T00:00:00"/>
    <x v="1"/>
    <n v="5"/>
    <x v="0"/>
    <s v="No"/>
    <x v="1"/>
    <s v="No"/>
    <n v="0"/>
    <n v="1"/>
    <x v="4"/>
  </r>
  <r>
    <n v="3254"/>
    <s v="Joaquim Barbosa"/>
    <x v="0"/>
    <d v="2024-03-20T00:00:00"/>
    <x v="0"/>
    <n v="15"/>
    <x v="1"/>
    <s v="Yes"/>
    <x v="0"/>
    <s v="Yes"/>
    <n v="20"/>
    <n v="20"/>
    <x v="8"/>
  </r>
  <r>
    <n v="3255"/>
    <s v="Lara Rocha"/>
    <x v="2"/>
    <d v="2024-03-21T00:00:00"/>
    <x v="1"/>
    <n v="10"/>
    <x v="0"/>
    <s v="No"/>
    <x v="1"/>
    <s v="Yes"/>
    <n v="20"/>
    <n v="10"/>
    <x v="2"/>
  </r>
  <r>
    <n v="3256"/>
    <s v="Matheus Silva"/>
    <x v="1"/>
    <d v="2024-03-22T00:00:00"/>
    <x v="0"/>
    <n v="5"/>
    <x v="2"/>
    <s v="No"/>
    <x v="1"/>
    <s v="No"/>
    <n v="0"/>
    <n v="0"/>
    <x v="1"/>
  </r>
  <r>
    <n v="3257"/>
    <s v="Nicole Costa"/>
    <x v="0"/>
    <d v="2024-03-23T00:00:00"/>
    <x v="1"/>
    <n v="15"/>
    <x v="0"/>
    <s v="Yes"/>
    <x v="0"/>
    <s v="Yes"/>
    <n v="20"/>
    <n v="5"/>
    <x v="0"/>
  </r>
  <r>
    <n v="3258"/>
    <s v="Otávio Mendonça"/>
    <x v="2"/>
    <d v="2024-03-24T00:00:00"/>
    <x v="0"/>
    <n v="10"/>
    <x v="1"/>
    <s v="No"/>
    <x v="1"/>
    <s v="Yes"/>
    <n v="20"/>
    <n v="15"/>
    <x v="7"/>
  </r>
  <r>
    <n v="3259"/>
    <s v="Paula Ferreira"/>
    <x v="1"/>
    <d v="2024-03-25T00:00:00"/>
    <x v="1"/>
    <n v="5"/>
    <x v="0"/>
    <s v="No"/>
    <x v="1"/>
    <s v="No"/>
    <n v="0"/>
    <n v="1"/>
    <x v="4"/>
  </r>
  <r>
    <n v="3260"/>
    <s v="Raquel Alves"/>
    <x v="0"/>
    <d v="2024-03-26T00:00:00"/>
    <x v="0"/>
    <n v="15"/>
    <x v="2"/>
    <s v="Yes"/>
    <x v="0"/>
    <s v="Yes"/>
    <n v="20"/>
    <n v="7"/>
    <x v="12"/>
  </r>
  <r>
    <n v="3261"/>
    <s v="Samuel Pires"/>
    <x v="2"/>
    <d v="2024-03-27T00:00:00"/>
    <x v="1"/>
    <n v="10"/>
    <x v="0"/>
    <s v="No"/>
    <x v="1"/>
    <s v="Yes"/>
    <n v="20"/>
    <n v="10"/>
    <x v="2"/>
  </r>
  <r>
    <n v="3262"/>
    <s v="Tânia Barros"/>
    <x v="1"/>
    <d v="2024-03-28T00:00:00"/>
    <x v="0"/>
    <n v="5"/>
    <x v="1"/>
    <s v="No"/>
    <x v="1"/>
    <s v="No"/>
    <n v="0"/>
    <n v="0"/>
    <x v="1"/>
  </r>
  <r>
    <n v="3263"/>
    <s v="Vinicius Lima"/>
    <x v="0"/>
    <d v="2024-03-29T00:00:00"/>
    <x v="1"/>
    <n v="15"/>
    <x v="0"/>
    <s v="Yes"/>
    <x v="0"/>
    <s v="Yes"/>
    <n v="20"/>
    <n v="3"/>
    <x v="3"/>
  </r>
  <r>
    <n v="3264"/>
    <s v="Yasmin Teixeira"/>
    <x v="2"/>
    <d v="2024-03-30T00:00:00"/>
    <x v="0"/>
    <n v="10"/>
    <x v="2"/>
    <s v="No"/>
    <x v="1"/>
    <s v="Yes"/>
    <n v="20"/>
    <n v="15"/>
    <x v="7"/>
  </r>
  <r>
    <n v="3265"/>
    <s v="Zé Carlos"/>
    <x v="1"/>
    <d v="2024-03-31T00:00:00"/>
    <x v="1"/>
    <n v="5"/>
    <x v="0"/>
    <s v="No"/>
    <x v="1"/>
    <s v="No"/>
    <n v="0"/>
    <n v="1"/>
    <x v="4"/>
  </r>
  <r>
    <n v="3266"/>
    <s v="Amanda Nogueira"/>
    <x v="1"/>
    <d v="2024-04-01T00:00:00"/>
    <x v="0"/>
    <n v="5"/>
    <x v="0"/>
    <s v="No"/>
    <x v="1"/>
    <s v="No"/>
    <n v="0"/>
    <n v="0"/>
    <x v="1"/>
  </r>
  <r>
    <n v="3267"/>
    <s v="Bruno Cavalheiro"/>
    <x v="0"/>
    <d v="2024-04-02T00:00:00"/>
    <x v="1"/>
    <n v="15"/>
    <x v="2"/>
    <s v="Yes"/>
    <x v="0"/>
    <s v="Yes"/>
    <n v="20"/>
    <n v="7"/>
    <x v="12"/>
  </r>
  <r>
    <n v="3268"/>
    <s v="Carla Dias"/>
    <x v="2"/>
    <d v="2024-04-03T00:00:00"/>
    <x v="0"/>
    <n v="10"/>
    <x v="1"/>
    <s v="No"/>
    <x v="1"/>
    <s v="Yes"/>
    <n v="20"/>
    <n v="10"/>
    <x v="2"/>
  </r>
  <r>
    <n v="3269"/>
    <s v="Diego Fontes"/>
    <x v="1"/>
    <d v="2024-04-04T00:00:00"/>
    <x v="1"/>
    <n v="5"/>
    <x v="2"/>
    <s v="No"/>
    <x v="1"/>
    <s v="No"/>
    <n v="0"/>
    <n v="1"/>
    <x v="4"/>
  </r>
  <r>
    <n v="3270"/>
    <s v="Eunice Lima"/>
    <x v="0"/>
    <d v="2024-04-05T00:00:00"/>
    <x v="0"/>
    <n v="15"/>
    <x v="0"/>
    <s v="Yes"/>
    <x v="0"/>
    <s v="Yes"/>
    <n v="20"/>
    <n v="15"/>
    <x v="14"/>
  </r>
  <r>
    <n v="3271"/>
    <s v="Fábio Martins"/>
    <x v="2"/>
    <d v="2024-04-06T00:00:00"/>
    <x v="1"/>
    <n v="10"/>
    <x v="0"/>
    <s v="No"/>
    <x v="1"/>
    <s v="Yes"/>
    <n v="20"/>
    <n v="5"/>
    <x v="13"/>
  </r>
  <r>
    <n v="3272"/>
    <s v="Gisele Araújo"/>
    <x v="1"/>
    <d v="2024-04-07T00:00:00"/>
    <x v="0"/>
    <n v="5"/>
    <x v="1"/>
    <s v="No"/>
    <x v="1"/>
    <s v="No"/>
    <n v="0"/>
    <n v="0"/>
    <x v="1"/>
  </r>
  <r>
    <n v="3273"/>
    <s v="Hélio Castro"/>
    <x v="0"/>
    <d v="2024-04-08T00:00:00"/>
    <x v="1"/>
    <n v="15"/>
    <x v="2"/>
    <s v="Yes"/>
    <x v="0"/>
    <s v="Yes"/>
    <n v="20"/>
    <n v="20"/>
    <x v="8"/>
  </r>
  <r>
    <n v="3274"/>
    <s v="Ingrid Menezes"/>
    <x v="2"/>
    <d v="2024-04-09T00:00:00"/>
    <x v="0"/>
    <n v="10"/>
    <x v="2"/>
    <s v="No"/>
    <x v="1"/>
    <s v="Yes"/>
    <n v="20"/>
    <n v="12"/>
    <x v="10"/>
  </r>
  <r>
    <n v="3275"/>
    <s v="Jorge Baptista"/>
    <x v="1"/>
    <d v="2024-04-10T00:00:00"/>
    <x v="1"/>
    <n v="5"/>
    <x v="0"/>
    <s v="No"/>
    <x v="1"/>
    <s v="No"/>
    <n v="0"/>
    <n v="2"/>
    <x v="11"/>
  </r>
  <r>
    <n v="3276"/>
    <s v="Kléber Oliveira"/>
    <x v="0"/>
    <d v="2024-04-11T00:00:00"/>
    <x v="0"/>
    <n v="15"/>
    <x v="1"/>
    <s v="Yes"/>
    <x v="0"/>
    <s v="Yes"/>
    <n v="20"/>
    <n v="5"/>
    <x v="0"/>
  </r>
  <r>
    <n v="3277"/>
    <s v="Luciana Freitas"/>
    <x v="2"/>
    <d v="2024-04-12T00:00:00"/>
    <x v="1"/>
    <n v="10"/>
    <x v="0"/>
    <s v="No"/>
    <x v="1"/>
    <s v="Yes"/>
    <n v="20"/>
    <n v="10"/>
    <x v="2"/>
  </r>
  <r>
    <n v="3278"/>
    <s v="Márcia Eller"/>
    <x v="1"/>
    <d v="2024-04-13T00:00:00"/>
    <x v="0"/>
    <n v="5"/>
    <x v="2"/>
    <s v="No"/>
    <x v="1"/>
    <s v="No"/>
    <n v="0"/>
    <n v="0"/>
    <x v="1"/>
  </r>
  <r>
    <n v="3279"/>
    <s v="Nilo Peçanha"/>
    <x v="0"/>
    <d v="2024-04-14T00:00:00"/>
    <x v="1"/>
    <n v="15"/>
    <x v="0"/>
    <s v="Yes"/>
    <x v="0"/>
    <s v="Yes"/>
    <n v="20"/>
    <n v="3"/>
    <x v="3"/>
  </r>
  <r>
    <n v="3280"/>
    <s v="Oscar Neves"/>
    <x v="2"/>
    <d v="2024-04-15T00:00:00"/>
    <x v="0"/>
    <n v="10"/>
    <x v="1"/>
    <s v="No"/>
    <x v="1"/>
    <s v="Yes"/>
    <n v="20"/>
    <n v="15"/>
    <x v="7"/>
  </r>
  <r>
    <n v="3281"/>
    <s v="Patrícia Soares"/>
    <x v="1"/>
    <d v="2024-04-16T00:00:00"/>
    <x v="1"/>
    <n v="5"/>
    <x v="0"/>
    <s v="No"/>
    <x v="1"/>
    <s v="No"/>
    <n v="0"/>
    <n v="1"/>
    <x v="4"/>
  </r>
  <r>
    <n v="3282"/>
    <s v="Quirino Gonçalves"/>
    <x v="0"/>
    <d v="2024-04-17T00:00:00"/>
    <x v="0"/>
    <n v="15"/>
    <x v="2"/>
    <s v="Yes"/>
    <x v="0"/>
    <s v="Yes"/>
    <n v="20"/>
    <n v="7"/>
    <x v="12"/>
  </r>
  <r>
    <n v="3283"/>
    <s v="Raul Machado"/>
    <x v="2"/>
    <d v="2024-04-18T00:00:00"/>
    <x v="1"/>
    <n v="10"/>
    <x v="0"/>
    <s v="No"/>
    <x v="1"/>
    <s v="Yes"/>
    <n v="20"/>
    <n v="10"/>
    <x v="2"/>
  </r>
  <r>
    <n v="3284"/>
    <s v="Sônia Lobo"/>
    <x v="1"/>
    <d v="2024-04-19T00:00:00"/>
    <x v="0"/>
    <n v="5"/>
    <x v="1"/>
    <s v="No"/>
    <x v="1"/>
    <s v="No"/>
    <n v="0"/>
    <n v="0"/>
    <x v="1"/>
  </r>
  <r>
    <n v="3285"/>
    <s v="Tiago Ramos"/>
    <x v="0"/>
    <d v="2024-04-20T00:00:00"/>
    <x v="1"/>
    <n v="15"/>
    <x v="0"/>
    <s v="Yes"/>
    <x v="0"/>
    <s v="Yes"/>
    <n v="20"/>
    <n v="20"/>
    <x v="8"/>
  </r>
  <r>
    <n v="3286"/>
    <s v="Ugo Pires"/>
    <x v="2"/>
    <d v="2024-04-21T00:00:00"/>
    <x v="0"/>
    <n v="10"/>
    <x v="2"/>
    <s v="No"/>
    <x v="1"/>
    <s v="Yes"/>
    <n v="20"/>
    <n v="15"/>
    <x v="7"/>
  </r>
  <r>
    <n v="3287"/>
    <s v="Valéria Nobre"/>
    <x v="1"/>
    <d v="2024-04-22T00:00:00"/>
    <x v="1"/>
    <n v="5"/>
    <x v="0"/>
    <s v="No"/>
    <x v="1"/>
    <s v="No"/>
    <n v="0"/>
    <n v="1"/>
    <x v="4"/>
  </r>
  <r>
    <n v="3288"/>
    <s v="William Siqueira"/>
    <x v="0"/>
    <d v="2024-04-23T00:00:00"/>
    <x v="0"/>
    <n v="15"/>
    <x v="1"/>
    <s v="Yes"/>
    <x v="0"/>
    <s v="Yes"/>
    <n v="20"/>
    <n v="3"/>
    <x v="3"/>
  </r>
  <r>
    <n v="3289"/>
    <s v="Xuxa Meneghel"/>
    <x v="2"/>
    <d v="2024-04-24T00:00:00"/>
    <x v="1"/>
    <n v="10"/>
    <x v="0"/>
    <s v="No"/>
    <x v="1"/>
    <s v="Yes"/>
    <n v="20"/>
    <n v="10"/>
    <x v="2"/>
  </r>
  <r>
    <n v="3290"/>
    <s v="Yara Figueiredo"/>
    <x v="1"/>
    <d v="2024-04-25T00:00:00"/>
    <x v="0"/>
    <n v="5"/>
    <x v="2"/>
    <s v="No"/>
    <x v="1"/>
    <s v="No"/>
    <n v="0"/>
    <n v="0"/>
    <x v="1"/>
  </r>
  <r>
    <n v="3291"/>
    <s v="Zacarias Alves"/>
    <x v="0"/>
    <d v="2024-04-26T00:00:00"/>
    <x v="1"/>
    <n v="15"/>
    <x v="0"/>
    <s v="Yes"/>
    <x v="0"/>
    <s v="Yes"/>
    <n v="20"/>
    <n v="5"/>
    <x v="0"/>
  </r>
  <r>
    <n v="3292"/>
    <s v="Amanda Bynes"/>
    <x v="2"/>
    <d v="2024-04-27T00:00:00"/>
    <x v="0"/>
    <n v="10"/>
    <x v="1"/>
    <s v="No"/>
    <x v="1"/>
    <s v="Yes"/>
    <n v="20"/>
    <n v="15"/>
    <x v="7"/>
  </r>
  <r>
    <n v="3293"/>
    <s v="Bruno Mars"/>
    <x v="1"/>
    <d v="2024-04-28T00:00:00"/>
    <x v="1"/>
    <n v="5"/>
    <x v="0"/>
    <s v="No"/>
    <x v="1"/>
    <s v="No"/>
    <n v="0"/>
    <n v="1"/>
    <x v="4"/>
  </r>
  <r>
    <n v="3294"/>
    <s v="Carla Bruni"/>
    <x v="0"/>
    <d v="2024-04-29T00:00:00"/>
    <x v="0"/>
    <n v="15"/>
    <x v="2"/>
    <s v="Yes"/>
    <x v="0"/>
    <s v="Yes"/>
    <n v="20"/>
    <n v="20"/>
    <x v="8"/>
  </r>
  <r>
    <n v="3295"/>
    <s v="Diego Maradona"/>
    <x v="2"/>
    <d v="2024-04-30T00:00:00"/>
    <x v="1"/>
    <n v="10"/>
    <x v="0"/>
    <s v="No"/>
    <x v="1"/>
    <s v="Yes"/>
    <n v="20"/>
    <n v="5"/>
    <x v="13"/>
  </r>
  <r>
    <n v="3296"/>
    <s v="Estela Marques"/>
    <x v="1"/>
    <d v="2024-05-01T00:00:00"/>
    <x v="1"/>
    <n v="5"/>
    <x v="0"/>
    <s v="No"/>
    <x v="1"/>
    <s v="No"/>
    <n v="0"/>
    <n v="0"/>
    <x v="1"/>
  </r>
  <r>
    <n v="3297"/>
    <s v="Fábio Nobre"/>
    <x v="0"/>
    <d v="2024-05-02T00:00:00"/>
    <x v="0"/>
    <n v="15"/>
    <x v="2"/>
    <s v="Yes"/>
    <x v="0"/>
    <s v="Yes"/>
    <n v="20"/>
    <n v="7"/>
    <x v="12"/>
  </r>
  <r>
    <n v="3298"/>
    <s v="Gabriel Oliveira"/>
    <x v="2"/>
    <d v="2024-05-03T00:00:00"/>
    <x v="1"/>
    <n v="10"/>
    <x v="1"/>
    <s v="No"/>
    <x v="1"/>
    <s v="Yes"/>
    <n v="20"/>
    <n v="10"/>
    <x v="2"/>
  </r>
  <r>
    <n v="3299"/>
    <s v="Helena Santos"/>
    <x v="1"/>
    <d v="2024-05-04T00:00:00"/>
    <x v="0"/>
    <n v="5"/>
    <x v="2"/>
    <s v="No"/>
    <x v="1"/>
    <s v="No"/>
    <n v="0"/>
    <n v="1"/>
    <x v="4"/>
  </r>
  <r>
    <n v="3300"/>
    <s v="Ivan Carvalho"/>
    <x v="0"/>
    <d v="2024-05-05T00:00:00"/>
    <x v="1"/>
    <n v="15"/>
    <x v="0"/>
    <s v="Yes"/>
    <x v="0"/>
    <s v="Yes"/>
    <n v="20"/>
    <n v="15"/>
    <x v="14"/>
  </r>
  <r>
    <n v="3301"/>
    <s v="Júlia Ferreira"/>
    <x v="2"/>
    <d v="2024-05-06T00:00:00"/>
    <x v="0"/>
    <n v="10"/>
    <x v="0"/>
    <s v="No"/>
    <x v="1"/>
    <s v="Yes"/>
    <n v="20"/>
    <n v="5"/>
    <x v="13"/>
  </r>
  <r>
    <n v="3302"/>
    <s v="Karla Alves"/>
    <x v="1"/>
    <d v="2024-05-07T00:00:00"/>
    <x v="1"/>
    <n v="5"/>
    <x v="1"/>
    <s v="No"/>
    <x v="1"/>
    <s v="No"/>
    <n v="0"/>
    <n v="0"/>
    <x v="1"/>
  </r>
  <r>
    <n v="3303"/>
    <s v="Lucas Mendes"/>
    <x v="0"/>
    <d v="2024-05-08T00:00:00"/>
    <x v="0"/>
    <n v="15"/>
    <x v="2"/>
    <s v="Yes"/>
    <x v="0"/>
    <s v="Yes"/>
    <n v="20"/>
    <n v="20"/>
    <x v="8"/>
  </r>
  <r>
    <n v="3304"/>
    <s v="Mônica Gomes"/>
    <x v="2"/>
    <d v="2024-05-09T00:00:00"/>
    <x v="1"/>
    <n v="10"/>
    <x v="2"/>
    <s v="No"/>
    <x v="1"/>
    <s v="Yes"/>
    <n v="20"/>
    <n v="12"/>
    <x v="10"/>
  </r>
  <r>
    <n v="3305"/>
    <s v="Norberto Queiroz"/>
    <x v="1"/>
    <d v="2024-05-10T00:00:00"/>
    <x v="0"/>
    <n v="5"/>
    <x v="0"/>
    <s v="No"/>
    <x v="1"/>
    <s v="No"/>
    <n v="0"/>
    <n v="2"/>
    <x v="11"/>
  </r>
  <r>
    <n v="3306"/>
    <s v="Otávio Barros"/>
    <x v="0"/>
    <d v="2024-05-11T00:00:00"/>
    <x v="1"/>
    <n v="15"/>
    <x v="1"/>
    <s v="Yes"/>
    <x v="0"/>
    <s v="Yes"/>
    <n v="20"/>
    <n v="5"/>
    <x v="0"/>
  </r>
  <r>
    <n v="3307"/>
    <s v="Paula Vieira"/>
    <x v="2"/>
    <d v="2024-05-12T00:00:00"/>
    <x v="0"/>
    <n v="10"/>
    <x v="0"/>
    <s v="No"/>
    <x v="1"/>
    <s v="Yes"/>
    <n v="20"/>
    <n v="10"/>
    <x v="2"/>
  </r>
  <r>
    <n v="3308"/>
    <s v="Quentin Ramos"/>
    <x v="1"/>
    <d v="2024-05-13T00:00:00"/>
    <x v="1"/>
    <n v="5"/>
    <x v="2"/>
    <s v="No"/>
    <x v="1"/>
    <s v="No"/>
    <n v="0"/>
    <n v="0"/>
    <x v="1"/>
  </r>
  <r>
    <n v="3309"/>
    <s v="Raquel Novaes"/>
    <x v="0"/>
    <d v="2024-05-14T00:00:00"/>
    <x v="0"/>
    <n v="15"/>
    <x v="0"/>
    <s v="Yes"/>
    <x v="0"/>
    <s v="Yes"/>
    <n v="20"/>
    <n v="3"/>
    <x v="3"/>
  </r>
  <r>
    <n v="3310"/>
    <s v="Samantha Lopes"/>
    <x v="2"/>
    <d v="2024-05-15T00:00:00"/>
    <x v="1"/>
    <n v="10"/>
    <x v="1"/>
    <s v="No"/>
    <x v="1"/>
    <s v="Yes"/>
    <n v="20"/>
    <n v="15"/>
    <x v="7"/>
  </r>
  <r>
    <n v="3311"/>
    <s v="Tiago Martins"/>
    <x v="1"/>
    <d v="2024-05-16T00:00:00"/>
    <x v="0"/>
    <n v="5"/>
    <x v="0"/>
    <s v="No"/>
    <x v="1"/>
    <s v="No"/>
    <n v="0"/>
    <n v="1"/>
    <x v="4"/>
  </r>
  <r>
    <n v="3312"/>
    <s v="Ulysses Guimarães"/>
    <x v="0"/>
    <d v="2024-05-17T00:00:00"/>
    <x v="1"/>
    <n v="15"/>
    <x v="2"/>
    <s v="Yes"/>
    <x v="0"/>
    <s v="Yes"/>
    <n v="20"/>
    <n v="7"/>
    <x v="12"/>
  </r>
  <r>
    <n v="3313"/>
    <s v="Vanessa Silva"/>
    <x v="2"/>
    <d v="2024-05-18T00:00:00"/>
    <x v="0"/>
    <n v="10"/>
    <x v="0"/>
    <s v="No"/>
    <x v="1"/>
    <s v="Yes"/>
    <n v="20"/>
    <n v="10"/>
    <x v="2"/>
  </r>
  <r>
    <n v="3314"/>
    <s v="William Carneiro"/>
    <x v="1"/>
    <d v="2024-05-19T00:00:00"/>
    <x v="1"/>
    <n v="5"/>
    <x v="1"/>
    <s v="No"/>
    <x v="1"/>
    <s v="No"/>
    <n v="0"/>
    <n v="0"/>
    <x v="1"/>
  </r>
  <r>
    <n v="3315"/>
    <s v="Ximena Rocha"/>
    <x v="0"/>
    <d v="2024-05-20T00:00:00"/>
    <x v="0"/>
    <n v="15"/>
    <x v="0"/>
    <s v="Yes"/>
    <x v="0"/>
    <s v="Yes"/>
    <n v="20"/>
    <n v="20"/>
    <x v="8"/>
  </r>
  <r>
    <n v="3316"/>
    <s v="Yasmin Figueiredo"/>
    <x v="2"/>
    <d v="2024-05-21T00:00:00"/>
    <x v="1"/>
    <n v="10"/>
    <x v="2"/>
    <s v="No"/>
    <x v="1"/>
    <s v="Yes"/>
    <n v="20"/>
    <n v="15"/>
    <x v="7"/>
  </r>
  <r>
    <n v="3317"/>
    <s v="Zara Cunha"/>
    <x v="1"/>
    <d v="2024-05-22T00:00:00"/>
    <x v="0"/>
    <n v="5"/>
    <x v="0"/>
    <s v="No"/>
    <x v="1"/>
    <s v="No"/>
    <n v="0"/>
    <n v="1"/>
    <x v="4"/>
  </r>
  <r>
    <n v="3318"/>
    <s v="Alan Teixeira"/>
    <x v="0"/>
    <d v="2024-05-23T00:00:00"/>
    <x v="1"/>
    <n v="15"/>
    <x v="1"/>
    <s v="Yes"/>
    <x v="0"/>
    <s v="Yes"/>
    <n v="20"/>
    <n v="3"/>
    <x v="3"/>
  </r>
  <r>
    <n v="3319"/>
    <s v="Bárbara Oliveira"/>
    <x v="2"/>
    <d v="2024-05-24T00:00:00"/>
    <x v="0"/>
    <n v="10"/>
    <x v="0"/>
    <s v="No"/>
    <x v="1"/>
    <s v="Yes"/>
    <n v="20"/>
    <n v="10"/>
    <x v="2"/>
  </r>
  <r>
    <n v="3320"/>
    <s v="Carlos Junqueira"/>
    <x v="1"/>
    <d v="2024-05-25T00:00:00"/>
    <x v="1"/>
    <n v="5"/>
    <x v="2"/>
    <s v="No"/>
    <x v="1"/>
    <s v="No"/>
    <n v="0"/>
    <n v="0"/>
    <x v="1"/>
  </r>
  <r>
    <n v="3321"/>
    <s v="Daniela Moura"/>
    <x v="0"/>
    <d v="2024-05-26T00:00:00"/>
    <x v="0"/>
    <n v="15"/>
    <x v="0"/>
    <s v="Yes"/>
    <x v="0"/>
    <s v="Yes"/>
    <n v="20"/>
    <n v="5"/>
    <x v="0"/>
  </r>
  <r>
    <n v="3322"/>
    <s v="Eduardo Lima"/>
    <x v="2"/>
    <d v="2024-05-27T00:00:00"/>
    <x v="1"/>
    <n v="10"/>
    <x v="1"/>
    <s v="No"/>
    <x v="1"/>
    <s v="Yes"/>
    <n v="20"/>
    <n v="15"/>
    <x v="7"/>
  </r>
  <r>
    <n v="3323"/>
    <s v="Fabiana Araújo"/>
    <x v="1"/>
    <d v="2024-05-28T00:00:00"/>
    <x v="0"/>
    <n v="5"/>
    <x v="0"/>
    <s v="No"/>
    <x v="1"/>
    <s v="No"/>
    <n v="0"/>
    <n v="1"/>
    <x v="4"/>
  </r>
  <r>
    <n v="3324"/>
    <s v="Geraldo Ribeiro"/>
    <x v="0"/>
    <d v="2024-05-29T00:00:00"/>
    <x v="1"/>
    <n v="15"/>
    <x v="2"/>
    <s v="Yes"/>
    <x v="0"/>
    <s v="Yes"/>
    <n v="20"/>
    <n v="20"/>
    <x v="8"/>
  </r>
  <r>
    <n v="3325"/>
    <s v="Héctor Vargas"/>
    <x v="2"/>
    <d v="2024-05-30T00:00:00"/>
    <x v="0"/>
    <n v="10"/>
    <x v="2"/>
    <s v="No"/>
    <x v="1"/>
    <s v="Yes"/>
    <n v="20"/>
    <n v="15"/>
    <x v="7"/>
  </r>
  <r>
    <n v="3326"/>
    <s v="Isabela Fonseca"/>
    <x v="1"/>
    <d v="2024-05-31T00:00:00"/>
    <x v="1"/>
    <n v="5"/>
    <x v="1"/>
    <s v="No"/>
    <x v="1"/>
    <s v="No"/>
    <n v="0"/>
    <n v="0"/>
    <x v="1"/>
  </r>
  <r>
    <n v="3327"/>
    <s v="João Pedro Almeida"/>
    <x v="0"/>
    <d v="2024-06-01T00:00:00"/>
    <x v="0"/>
    <n v="15"/>
    <x v="0"/>
    <s v="Yes"/>
    <x v="0"/>
    <s v="Yes"/>
    <n v="20"/>
    <n v="7"/>
    <x v="12"/>
  </r>
  <r>
    <n v="3328"/>
    <s v="Klara Costa"/>
    <x v="2"/>
    <d v="2024-06-02T00:00:00"/>
    <x v="1"/>
    <n v="10"/>
    <x v="1"/>
    <s v="No"/>
    <x v="1"/>
    <s v="Yes"/>
    <n v="20"/>
    <n v="10"/>
    <x v="2"/>
  </r>
  <r>
    <n v="3329"/>
    <s v="Luciana Mendes"/>
    <x v="1"/>
    <d v="2024-06-03T00:00:00"/>
    <x v="0"/>
    <n v="5"/>
    <x v="2"/>
    <s v="No"/>
    <x v="1"/>
    <s v="No"/>
    <n v="0"/>
    <n v="1"/>
    <x v="4"/>
  </r>
  <r>
    <n v="3330"/>
    <s v="Marcelo Gouveia"/>
    <x v="0"/>
    <d v="2024-06-04T00:00:00"/>
    <x v="1"/>
    <n v="15"/>
    <x v="0"/>
    <s v="Yes"/>
    <x v="0"/>
    <s v="Yes"/>
    <n v="20"/>
    <n v="15"/>
    <x v="14"/>
  </r>
  <r>
    <n v="3331"/>
    <s v="Nívea Borges"/>
    <x v="2"/>
    <d v="2024-06-05T00:00:00"/>
    <x v="0"/>
    <n v="10"/>
    <x v="0"/>
    <s v="No"/>
    <x v="1"/>
    <s v="Yes"/>
    <n v="20"/>
    <n v="5"/>
    <x v="13"/>
  </r>
  <r>
    <n v="3332"/>
    <s v="Oscar Nogueira"/>
    <x v="1"/>
    <d v="2024-06-06T00:00:00"/>
    <x v="1"/>
    <n v="5"/>
    <x v="1"/>
    <s v="No"/>
    <x v="1"/>
    <s v="No"/>
    <n v="0"/>
    <n v="0"/>
    <x v="1"/>
  </r>
  <r>
    <n v="3333"/>
    <s v="Patrícia Alves"/>
    <x v="0"/>
    <d v="2024-06-07T00:00:00"/>
    <x v="0"/>
    <n v="15"/>
    <x v="2"/>
    <s v="Yes"/>
    <x v="0"/>
    <s v="Yes"/>
    <n v="20"/>
    <n v="20"/>
    <x v="8"/>
  </r>
  <r>
    <n v="3334"/>
    <s v="Rafaela Silva"/>
    <x v="2"/>
    <d v="2024-06-08T00:00:00"/>
    <x v="1"/>
    <n v="10"/>
    <x v="2"/>
    <s v="No"/>
    <x v="1"/>
    <s v="Yes"/>
    <n v="20"/>
    <n v="12"/>
    <x v="10"/>
  </r>
  <r>
    <n v="3335"/>
    <s v="Samantha Moraes"/>
    <x v="1"/>
    <d v="2024-06-09T00:00:00"/>
    <x v="0"/>
    <n v="5"/>
    <x v="0"/>
    <s v="No"/>
    <x v="1"/>
    <s v="No"/>
    <n v="0"/>
    <n v="2"/>
    <x v="11"/>
  </r>
  <r>
    <n v="3336"/>
    <s v="Tatiana Rocha"/>
    <x v="1"/>
    <d v="2024-06-10T00:00:00"/>
    <x v="0"/>
    <n v="5"/>
    <x v="0"/>
    <s v="No"/>
    <x v="1"/>
    <s v="No"/>
    <n v="0"/>
    <n v="0"/>
    <x v="1"/>
  </r>
  <r>
    <n v="3337"/>
    <s v="Ulisses Tavares"/>
    <x v="0"/>
    <d v="2024-06-11T00:00:00"/>
    <x v="1"/>
    <n v="15"/>
    <x v="2"/>
    <s v="Yes"/>
    <x v="0"/>
    <s v="Yes"/>
    <n v="20"/>
    <n v="7"/>
    <x v="12"/>
  </r>
  <r>
    <n v="3338"/>
    <s v="Víctor Lemos"/>
    <x v="2"/>
    <d v="2024-06-12T00:00:00"/>
    <x v="0"/>
    <n v="10"/>
    <x v="1"/>
    <s v="No"/>
    <x v="1"/>
    <s v="Yes"/>
    <n v="20"/>
    <n v="10"/>
    <x v="2"/>
  </r>
  <r>
    <n v="3339"/>
    <s v="Wilma Barros"/>
    <x v="1"/>
    <d v="2024-06-13T00:00:00"/>
    <x v="1"/>
    <n v="5"/>
    <x v="2"/>
    <s v="No"/>
    <x v="1"/>
    <s v="No"/>
    <n v="0"/>
    <n v="1"/>
    <x v="4"/>
  </r>
  <r>
    <n v="3340"/>
    <s v="Xavier Nascimento"/>
    <x v="0"/>
    <d v="2024-06-14T00:00:00"/>
    <x v="0"/>
    <n v="15"/>
    <x v="0"/>
    <s v="Yes"/>
    <x v="0"/>
    <s v="Yes"/>
    <n v="20"/>
    <n v="15"/>
    <x v="14"/>
  </r>
  <r>
    <n v="3341"/>
    <s v="Yago Pereira"/>
    <x v="2"/>
    <d v="2024-06-15T00:00:00"/>
    <x v="1"/>
    <n v="10"/>
    <x v="0"/>
    <s v="No"/>
    <x v="1"/>
    <s v="Yes"/>
    <n v="20"/>
    <n v="5"/>
    <x v="13"/>
  </r>
  <r>
    <n v="3342"/>
    <s v="Zilda Ferreira"/>
    <x v="1"/>
    <d v="2024-06-16T00:00:00"/>
    <x v="0"/>
    <n v="5"/>
    <x v="1"/>
    <s v="No"/>
    <x v="1"/>
    <s v="No"/>
    <n v="0"/>
    <n v="0"/>
    <x v="1"/>
  </r>
  <r>
    <n v="3343"/>
    <s v="Amanda Lopes"/>
    <x v="0"/>
    <d v="2024-06-17T00:00:00"/>
    <x v="1"/>
    <n v="15"/>
    <x v="2"/>
    <s v="Yes"/>
    <x v="0"/>
    <s v="Yes"/>
    <n v="20"/>
    <n v="20"/>
    <x v="8"/>
  </r>
  <r>
    <n v="3344"/>
    <s v="Bruno Miranda"/>
    <x v="2"/>
    <d v="2024-06-18T00:00:00"/>
    <x v="0"/>
    <n v="10"/>
    <x v="2"/>
    <s v="No"/>
    <x v="1"/>
    <s v="Yes"/>
    <n v="20"/>
    <n v="12"/>
    <x v="10"/>
  </r>
  <r>
    <n v="3345"/>
    <s v="Célia Torres"/>
    <x v="1"/>
    <d v="2024-06-19T00:00:00"/>
    <x v="1"/>
    <n v="5"/>
    <x v="0"/>
    <s v="No"/>
    <x v="1"/>
    <s v="No"/>
    <n v="0"/>
    <n v="2"/>
    <x v="11"/>
  </r>
  <r>
    <n v="3346"/>
    <s v="Diogo Souza"/>
    <x v="0"/>
    <d v="2024-06-20T00:00:00"/>
    <x v="0"/>
    <n v="15"/>
    <x v="1"/>
    <s v="Yes"/>
    <x v="0"/>
    <s v="Yes"/>
    <n v="20"/>
    <n v="5"/>
    <x v="0"/>
  </r>
  <r>
    <n v="3347"/>
    <s v="Elisa Castro"/>
    <x v="2"/>
    <d v="2024-06-21T00:00:00"/>
    <x v="1"/>
    <n v="10"/>
    <x v="0"/>
    <s v="No"/>
    <x v="1"/>
    <s v="Yes"/>
    <n v="20"/>
    <n v="10"/>
    <x v="2"/>
  </r>
  <r>
    <n v="3348"/>
    <s v="Fátima Lima"/>
    <x v="1"/>
    <d v="2024-06-22T00:00:00"/>
    <x v="0"/>
    <n v="5"/>
    <x v="2"/>
    <s v="No"/>
    <x v="1"/>
    <s v="No"/>
    <n v="0"/>
    <n v="0"/>
    <x v="1"/>
  </r>
  <r>
    <n v="3349"/>
    <s v="Geraldo Ribeiro"/>
    <x v="0"/>
    <d v="2024-06-23T00:00:00"/>
    <x v="1"/>
    <n v="15"/>
    <x v="0"/>
    <s v="Yes"/>
    <x v="0"/>
    <s v="Yes"/>
    <n v="20"/>
    <n v="3"/>
    <x v="3"/>
  </r>
  <r>
    <n v="3350"/>
    <s v="Hélio Martins"/>
    <x v="2"/>
    <d v="2024-06-24T00:00:00"/>
    <x v="0"/>
    <n v="10"/>
    <x v="1"/>
    <s v="No"/>
    <x v="1"/>
    <s v="Yes"/>
    <n v="20"/>
    <n v="15"/>
    <x v="7"/>
  </r>
  <r>
    <n v="3351"/>
    <s v="Íris Santos"/>
    <x v="1"/>
    <d v="2024-06-25T00:00:00"/>
    <x v="1"/>
    <n v="5"/>
    <x v="0"/>
    <s v="No"/>
    <x v="1"/>
    <s v="No"/>
    <n v="0"/>
    <n v="1"/>
    <x v="4"/>
  </r>
  <r>
    <n v="3352"/>
    <s v="João Marcelo"/>
    <x v="0"/>
    <d v="2024-06-26T00:00:00"/>
    <x v="0"/>
    <n v="15"/>
    <x v="2"/>
    <s v="Yes"/>
    <x v="0"/>
    <s v="Yes"/>
    <n v="20"/>
    <n v="7"/>
    <x v="12"/>
  </r>
  <r>
    <n v="3353"/>
    <s v="Larissa Gomes"/>
    <x v="2"/>
    <d v="2024-06-27T00:00:00"/>
    <x v="1"/>
    <n v="10"/>
    <x v="0"/>
    <s v="No"/>
    <x v="1"/>
    <s v="Yes"/>
    <n v="20"/>
    <n v="10"/>
    <x v="2"/>
  </r>
  <r>
    <n v="3354"/>
    <s v="Márcio Silva"/>
    <x v="1"/>
    <d v="2024-06-28T00:00:00"/>
    <x v="0"/>
    <n v="5"/>
    <x v="1"/>
    <s v="No"/>
    <x v="1"/>
    <s v="No"/>
    <n v="0"/>
    <n v="0"/>
    <x v="1"/>
  </r>
  <r>
    <n v="3355"/>
    <s v="Nadia Costa"/>
    <x v="0"/>
    <d v="2024-06-29T00:00:00"/>
    <x v="1"/>
    <n v="15"/>
    <x v="0"/>
    <s v="Yes"/>
    <x v="0"/>
    <s v="Yes"/>
    <n v="20"/>
    <n v="20"/>
    <x v="8"/>
  </r>
  <r>
    <n v="3356"/>
    <s v="Oscar Almeida"/>
    <x v="2"/>
    <d v="2024-06-30T00:00:00"/>
    <x v="0"/>
    <n v="10"/>
    <x v="2"/>
    <s v="No"/>
    <x v="1"/>
    <s v="Yes"/>
    <n v="20"/>
    <n v="15"/>
    <x v="7"/>
  </r>
  <r>
    <n v="3357"/>
    <s v="Patricia Soares"/>
    <x v="1"/>
    <d v="2024-07-01T00:00:00"/>
    <x v="1"/>
    <n v="5"/>
    <x v="0"/>
    <s v="No"/>
    <x v="1"/>
    <s v="No"/>
    <n v="0"/>
    <n v="1"/>
    <x v="4"/>
  </r>
  <r>
    <n v="3358"/>
    <s v="Quênia Barros"/>
    <x v="0"/>
    <d v="2024-07-02T00:00:00"/>
    <x v="0"/>
    <n v="15"/>
    <x v="1"/>
    <s v="Yes"/>
    <x v="0"/>
    <s v="Yes"/>
    <n v="20"/>
    <n v="3"/>
    <x v="3"/>
  </r>
  <r>
    <n v="3359"/>
    <s v="Rafael Torres"/>
    <x v="2"/>
    <d v="2024-07-03T00:00:00"/>
    <x v="1"/>
    <n v="10"/>
    <x v="0"/>
    <s v="No"/>
    <x v="1"/>
    <s v="Yes"/>
    <n v="20"/>
    <n v="10"/>
    <x v="2"/>
  </r>
  <r>
    <n v="3360"/>
    <s v="Silvia Nascimento"/>
    <x v="1"/>
    <d v="2024-07-04T00:00:00"/>
    <x v="0"/>
    <n v="5"/>
    <x v="2"/>
    <s v="No"/>
    <x v="1"/>
    <s v="No"/>
    <n v="0"/>
    <n v="0"/>
    <x v="1"/>
  </r>
  <r>
    <n v="3361"/>
    <s v="Tiago Mendes"/>
    <x v="0"/>
    <d v="2024-07-05T00:00:00"/>
    <x v="1"/>
    <n v="15"/>
    <x v="0"/>
    <s v="Yes"/>
    <x v="0"/>
    <s v="Yes"/>
    <n v="20"/>
    <n v="15"/>
    <x v="14"/>
  </r>
  <r>
    <n v="3362"/>
    <s v="Ursula Silva"/>
    <x v="2"/>
    <d v="2024-07-06T00:00:00"/>
    <x v="0"/>
    <n v="10"/>
    <x v="1"/>
    <s v="No"/>
    <x v="1"/>
    <s v="Yes"/>
    <n v="20"/>
    <n v="15"/>
    <x v="7"/>
  </r>
  <r>
    <n v="3363"/>
    <s v="Vanessa Moraes"/>
    <x v="1"/>
    <d v="2024-07-07T00:00:00"/>
    <x v="1"/>
    <n v="5"/>
    <x v="0"/>
    <s v="No"/>
    <x v="1"/>
    <s v="No"/>
    <n v="0"/>
    <n v="1"/>
    <x v="4"/>
  </r>
  <r>
    <n v="3364"/>
    <s v="Waldir Junior"/>
    <x v="0"/>
    <d v="2024-07-08T00:00:00"/>
    <x v="0"/>
    <n v="15"/>
    <x v="2"/>
    <s v="Yes"/>
    <x v="0"/>
    <s v="Yes"/>
    <n v="20"/>
    <n v="7"/>
    <x v="12"/>
  </r>
  <r>
    <n v="3365"/>
    <s v="Xavier Lopes"/>
    <x v="2"/>
    <d v="2024-07-09T00:00:00"/>
    <x v="1"/>
    <n v="10"/>
    <x v="0"/>
    <s v="No"/>
    <x v="1"/>
    <s v="Yes"/>
    <n v="20"/>
    <n v="10"/>
    <x v="2"/>
  </r>
  <r>
    <n v="3366"/>
    <s v="Yolanda Freitas"/>
    <x v="1"/>
    <d v="2024-07-10T00:00:00"/>
    <x v="0"/>
    <n v="5"/>
    <x v="0"/>
    <s v="No"/>
    <x v="1"/>
    <s v="No"/>
    <n v="0"/>
    <n v="0"/>
    <x v="1"/>
  </r>
  <r>
    <n v="3367"/>
    <s v="Zacarias Nunes"/>
    <x v="0"/>
    <d v="2024-07-11T00:00:00"/>
    <x v="1"/>
    <n v="15"/>
    <x v="2"/>
    <s v="Yes"/>
    <x v="0"/>
    <s v="Yes"/>
    <n v="20"/>
    <n v="7"/>
    <x v="12"/>
  </r>
  <r>
    <n v="3368"/>
    <s v="Ana Clara Barreto"/>
    <x v="2"/>
    <d v="2024-07-12T00:00:00"/>
    <x v="0"/>
    <n v="10"/>
    <x v="1"/>
    <s v="No"/>
    <x v="1"/>
    <s v="Yes"/>
    <n v="20"/>
    <n v="10"/>
    <x v="2"/>
  </r>
  <r>
    <n v="3369"/>
    <s v="Bruno Henrique"/>
    <x v="1"/>
    <d v="2024-07-13T00:00:00"/>
    <x v="1"/>
    <n v="5"/>
    <x v="2"/>
    <s v="No"/>
    <x v="1"/>
    <s v="No"/>
    <n v="0"/>
    <n v="1"/>
    <x v="4"/>
  </r>
  <r>
    <n v="3370"/>
    <s v="Carlos Eduardo"/>
    <x v="0"/>
    <d v="2024-07-14T00:00:00"/>
    <x v="0"/>
    <n v="15"/>
    <x v="0"/>
    <s v="Yes"/>
    <x v="0"/>
    <s v="Yes"/>
    <n v="20"/>
    <n v="15"/>
    <x v="14"/>
  </r>
  <r>
    <n v="3371"/>
    <s v="Débora Lima"/>
    <x v="2"/>
    <d v="2024-07-15T00:00:00"/>
    <x v="1"/>
    <n v="10"/>
    <x v="0"/>
    <s v="No"/>
    <x v="1"/>
    <s v="Yes"/>
    <n v="20"/>
    <n v="5"/>
    <x v="13"/>
  </r>
  <r>
    <n v="3372"/>
    <s v="Elisa Neves"/>
    <x v="1"/>
    <d v="2024-07-16T00:00:00"/>
    <x v="0"/>
    <n v="5"/>
    <x v="1"/>
    <s v="No"/>
    <x v="1"/>
    <s v="No"/>
    <n v="0"/>
    <n v="0"/>
    <x v="1"/>
  </r>
  <r>
    <n v="3373"/>
    <s v="Fabiano Gomes"/>
    <x v="0"/>
    <d v="2024-07-17T00:00:00"/>
    <x v="1"/>
    <n v="15"/>
    <x v="2"/>
    <s v="Yes"/>
    <x v="0"/>
    <s v="Yes"/>
    <n v="20"/>
    <n v="20"/>
    <x v="8"/>
  </r>
  <r>
    <n v="3374"/>
    <s v="Gisele Oliveira"/>
    <x v="2"/>
    <d v="2024-07-18T00:00:00"/>
    <x v="0"/>
    <n v="10"/>
    <x v="2"/>
    <s v="No"/>
    <x v="1"/>
    <s v="Yes"/>
    <n v="20"/>
    <n v="12"/>
    <x v="10"/>
  </r>
  <r>
    <n v="3375"/>
    <s v="Héctor Silva"/>
    <x v="1"/>
    <d v="2024-07-19T00:00:00"/>
    <x v="1"/>
    <n v="5"/>
    <x v="0"/>
    <s v="No"/>
    <x v="1"/>
    <s v="No"/>
    <n v="0"/>
    <n v="2"/>
    <x v="11"/>
  </r>
  <r>
    <n v="3376"/>
    <s v="Igor Martins"/>
    <x v="0"/>
    <d v="2024-07-20T00:00:00"/>
    <x v="0"/>
    <n v="15"/>
    <x v="1"/>
    <s v="Yes"/>
    <x v="0"/>
    <s v="Yes"/>
    <n v="20"/>
    <n v="5"/>
    <x v="0"/>
  </r>
  <r>
    <n v="3377"/>
    <s v="Joana Figueiredo"/>
    <x v="2"/>
    <d v="2024-07-21T00:00:00"/>
    <x v="1"/>
    <n v="10"/>
    <x v="0"/>
    <s v="No"/>
    <x v="1"/>
    <s v="Yes"/>
    <n v="20"/>
    <n v="10"/>
    <x v="2"/>
  </r>
  <r>
    <n v="3378"/>
    <s v="Kleber Machado"/>
    <x v="1"/>
    <d v="2024-07-22T00:00:00"/>
    <x v="0"/>
    <n v="5"/>
    <x v="2"/>
    <s v="No"/>
    <x v="1"/>
    <s v="No"/>
    <n v="0"/>
    <n v="0"/>
    <x v="1"/>
  </r>
  <r>
    <n v="3379"/>
    <s v="Luciana Santos"/>
    <x v="0"/>
    <d v="2024-07-23T00:00:00"/>
    <x v="1"/>
    <n v="15"/>
    <x v="0"/>
    <s v="Yes"/>
    <x v="0"/>
    <s v="Yes"/>
    <n v="20"/>
    <n v="3"/>
    <x v="3"/>
  </r>
  <r>
    <n v="3380"/>
    <s v="Marcos Teixeira"/>
    <x v="2"/>
    <d v="2024-07-24T00:00:00"/>
    <x v="0"/>
    <n v="10"/>
    <x v="1"/>
    <s v="No"/>
    <x v="1"/>
    <s v="Yes"/>
    <n v="20"/>
    <n v="15"/>
    <x v="7"/>
  </r>
  <r>
    <n v="3381"/>
    <s v="Natalia Costa"/>
    <x v="1"/>
    <d v="2024-07-25T00:00:00"/>
    <x v="1"/>
    <n v="5"/>
    <x v="0"/>
    <s v="No"/>
    <x v="1"/>
    <s v="No"/>
    <n v="0"/>
    <n v="1"/>
    <x v="4"/>
  </r>
  <r>
    <n v="3382"/>
    <s v="Oscar Ribeiro"/>
    <x v="0"/>
    <d v="2024-07-26T00:00:00"/>
    <x v="0"/>
    <n v="15"/>
    <x v="2"/>
    <s v="Yes"/>
    <x v="0"/>
    <s v="Yes"/>
    <n v="20"/>
    <n v="7"/>
    <x v="12"/>
  </r>
  <r>
    <n v="3383"/>
    <s v="Patricia Almeida"/>
    <x v="2"/>
    <d v="2024-07-27T00:00:00"/>
    <x v="1"/>
    <n v="10"/>
    <x v="0"/>
    <s v="No"/>
    <x v="1"/>
    <s v="Yes"/>
    <n v="20"/>
    <n v="10"/>
    <x v="2"/>
  </r>
  <r>
    <n v="3384"/>
    <s v="Quirino Junior"/>
    <x v="1"/>
    <d v="2024-07-28T00:00:00"/>
    <x v="0"/>
    <n v="5"/>
    <x v="1"/>
    <s v="No"/>
    <x v="1"/>
    <s v="No"/>
    <n v="0"/>
    <n v="0"/>
    <x v="1"/>
  </r>
  <r>
    <n v="3385"/>
    <s v="Renata Machado"/>
    <x v="0"/>
    <d v="2024-07-29T00:00:00"/>
    <x v="1"/>
    <n v="15"/>
    <x v="0"/>
    <s v="Yes"/>
    <x v="0"/>
    <s v="Yes"/>
    <n v="20"/>
    <n v="20"/>
    <x v="8"/>
  </r>
  <r>
    <n v="3386"/>
    <s v="Sônia Alves"/>
    <x v="2"/>
    <d v="2024-07-30T00:00:00"/>
    <x v="0"/>
    <n v="10"/>
    <x v="2"/>
    <s v="No"/>
    <x v="1"/>
    <s v="Yes"/>
    <n v="20"/>
    <n v="15"/>
    <x v="7"/>
  </r>
  <r>
    <n v="3387"/>
    <s v="Tiago Nunes"/>
    <x v="1"/>
    <d v="2024-07-31T00:00:00"/>
    <x v="1"/>
    <n v="5"/>
    <x v="0"/>
    <s v="No"/>
    <x v="1"/>
    <s v="No"/>
    <n v="0"/>
    <n v="1"/>
    <x v="4"/>
  </r>
  <r>
    <n v="3388"/>
    <s v="Ulysses Pereira"/>
    <x v="0"/>
    <d v="2024-08-01T00:00:00"/>
    <x v="0"/>
    <n v="15"/>
    <x v="1"/>
    <s v="Yes"/>
    <x v="0"/>
    <s v="Yes"/>
    <n v="20"/>
    <n v="3"/>
    <x v="3"/>
  </r>
  <r>
    <n v="3389"/>
    <s v="Vanessa Lima"/>
    <x v="2"/>
    <d v="2024-08-02T00:00:00"/>
    <x v="1"/>
    <n v="10"/>
    <x v="0"/>
    <s v="No"/>
    <x v="1"/>
    <s v="Yes"/>
    <n v="20"/>
    <n v="10"/>
    <x v="2"/>
  </r>
  <r>
    <n v="3390"/>
    <s v="Wagner Santos"/>
    <x v="1"/>
    <d v="2024-08-03T00:00:00"/>
    <x v="0"/>
    <n v="5"/>
    <x v="2"/>
    <s v="No"/>
    <x v="1"/>
    <s v="No"/>
    <n v="0"/>
    <n v="0"/>
    <x v="1"/>
  </r>
  <r>
    <n v="3391"/>
    <s v="Xuxa Meneghel"/>
    <x v="0"/>
    <d v="2024-08-04T00:00:00"/>
    <x v="1"/>
    <n v="15"/>
    <x v="0"/>
    <s v="Yes"/>
    <x v="0"/>
    <s v="Yes"/>
    <n v="20"/>
    <n v="15"/>
    <x v="14"/>
  </r>
  <r>
    <n v="3392"/>
    <s v="Yasmin Silva"/>
    <x v="2"/>
    <d v="2024-08-05T00:00:00"/>
    <x v="0"/>
    <n v="10"/>
    <x v="1"/>
    <s v="No"/>
    <x v="1"/>
    <s v="Yes"/>
    <n v="20"/>
    <n v="15"/>
    <x v="7"/>
  </r>
  <r>
    <n v="3393"/>
    <s v="Zacarias de Souza"/>
    <x v="1"/>
    <d v="2024-08-06T00:00:00"/>
    <x v="1"/>
    <n v="5"/>
    <x v="0"/>
    <s v="No"/>
    <x v="1"/>
    <s v="No"/>
    <n v="0"/>
    <n v="1"/>
    <x v="4"/>
  </r>
  <r>
    <n v="3394"/>
    <s v="André Lima"/>
    <x v="0"/>
    <d v="2024-08-07T00:00:00"/>
    <x v="0"/>
    <n v="15"/>
    <x v="2"/>
    <s v="Yes"/>
    <x v="0"/>
    <s v="Yes"/>
    <n v="20"/>
    <n v="7"/>
    <x v="12"/>
  </r>
  <r>
    <n v="3395"/>
    <s v="Bianca Freitas"/>
    <x v="2"/>
    <d v="2024-08-08T00:00:00"/>
    <x v="1"/>
    <n v="10"/>
    <x v="0"/>
    <s v="No"/>
    <x v="1"/>
    <s v="Yes"/>
    <n v="20"/>
    <n v="10"/>
    <x v="2"/>
  </r>
  <r>
    <n v="3396"/>
    <s v="Caio Mendes"/>
    <x v="1"/>
    <d v="2024-08-09T00:00:00"/>
    <x v="0"/>
    <n v="5"/>
    <x v="1"/>
    <s v="No"/>
    <x v="1"/>
    <s v="No"/>
    <n v="0"/>
    <n v="0"/>
    <x v="1"/>
  </r>
  <r>
    <n v="3397"/>
    <s v="Daniela Moura"/>
    <x v="0"/>
    <d v="2024-08-10T00:00:00"/>
    <x v="1"/>
    <n v="15"/>
    <x v="0"/>
    <s v="Yes"/>
    <x v="0"/>
    <s v="Yes"/>
    <n v="20"/>
    <n v="20"/>
    <x v="8"/>
  </r>
  <r>
    <n v="3398"/>
    <s v="Eduardo Costa"/>
    <x v="2"/>
    <d v="2024-08-11T00:00:00"/>
    <x v="0"/>
    <n v="10"/>
    <x v="2"/>
    <s v="No"/>
    <x v="1"/>
    <s v="Yes"/>
    <n v="20"/>
    <n v="15"/>
    <x v="7"/>
  </r>
  <r>
    <n v="3399"/>
    <s v="Fernanda Gomes"/>
    <x v="1"/>
    <d v="2024-08-12T00:00:00"/>
    <x v="1"/>
    <n v="5"/>
    <x v="0"/>
    <s v="No"/>
    <x v="1"/>
    <s v="No"/>
    <n v="0"/>
    <n v="1"/>
    <x v="4"/>
  </r>
  <r>
    <n v="3400"/>
    <s v="Guilherme Souza"/>
    <x v="0"/>
    <d v="2024-08-13T00:00:00"/>
    <x v="0"/>
    <n v="15"/>
    <x v="1"/>
    <s v="Yes"/>
    <x v="0"/>
    <s v="Yes"/>
    <n v="20"/>
    <n v="5"/>
    <x v="0"/>
  </r>
  <r>
    <n v="3401"/>
    <s v="Helena Ribeiro"/>
    <x v="2"/>
    <d v="2024-08-14T00:00:00"/>
    <x v="1"/>
    <n v="10"/>
    <x v="0"/>
    <s v="No"/>
    <x v="1"/>
    <s v="Yes"/>
    <n v="20"/>
    <n v="10"/>
    <x v="2"/>
  </r>
  <r>
    <n v="3402"/>
    <s v="Igor Santos"/>
    <x v="1"/>
    <d v="2024-08-15T00:00:00"/>
    <x v="0"/>
    <n v="5"/>
    <x v="2"/>
    <s v="No"/>
    <x v="1"/>
    <s v="No"/>
    <n v="0"/>
    <n v="0"/>
    <x v="1"/>
  </r>
  <r>
    <n v="3403"/>
    <s v="João Carvalho"/>
    <x v="0"/>
    <d v="2024-08-16T00:00:00"/>
    <x v="1"/>
    <n v="15"/>
    <x v="0"/>
    <s v="Yes"/>
    <x v="0"/>
    <s v="Yes"/>
    <n v="20"/>
    <n v="3"/>
    <x v="3"/>
  </r>
  <r>
    <n v="3404"/>
    <s v="Klara Fagundes"/>
    <x v="2"/>
    <d v="2024-08-17T00:00:00"/>
    <x v="0"/>
    <n v="10"/>
    <x v="1"/>
    <s v="No"/>
    <x v="1"/>
    <s v="Yes"/>
    <n v="20"/>
    <n v="15"/>
    <x v="7"/>
  </r>
  <r>
    <n v="3405"/>
    <s v="Lúcia Mendonça"/>
    <x v="1"/>
    <d v="2024-08-18T00:00:00"/>
    <x v="1"/>
    <n v="5"/>
    <x v="0"/>
    <s v="No"/>
    <x v="1"/>
    <s v="No"/>
    <n v="0"/>
    <n v="1"/>
    <x v="4"/>
  </r>
  <r>
    <n v="3406"/>
    <s v="Marcelo Novaes"/>
    <x v="1"/>
    <d v="2024-08-19T00:00:00"/>
    <x v="0"/>
    <n v="5"/>
    <x v="0"/>
    <s v="No"/>
    <x v="1"/>
    <s v="No"/>
    <n v="0"/>
    <n v="0"/>
    <x v="1"/>
  </r>
  <r>
    <n v="3407"/>
    <s v="Nina Pacheco"/>
    <x v="0"/>
    <d v="2024-08-20T00:00:00"/>
    <x v="1"/>
    <n v="15"/>
    <x v="2"/>
    <s v="Yes"/>
    <x v="0"/>
    <s v="Yes"/>
    <n v="20"/>
    <n v="7"/>
    <x v="12"/>
  </r>
  <r>
    <n v="3408"/>
    <s v="Olívia Rios"/>
    <x v="2"/>
    <d v="2024-08-21T00:00:00"/>
    <x v="0"/>
    <n v="10"/>
    <x v="1"/>
    <s v="No"/>
    <x v="1"/>
    <s v="Yes"/>
    <n v="20"/>
    <n v="10"/>
    <x v="2"/>
  </r>
  <r>
    <n v="3409"/>
    <s v="Paulo Quintana"/>
    <x v="1"/>
    <d v="2024-08-22T00:00:00"/>
    <x v="1"/>
    <n v="5"/>
    <x v="2"/>
    <s v="No"/>
    <x v="1"/>
    <s v="No"/>
    <n v="0"/>
    <n v="1"/>
    <x v="4"/>
  </r>
  <r>
    <n v="3410"/>
    <s v="Raquel Domingos"/>
    <x v="0"/>
    <d v="2024-08-23T00:00:00"/>
    <x v="0"/>
    <n v="15"/>
    <x v="0"/>
    <s v="Yes"/>
    <x v="0"/>
    <s v="Yes"/>
    <n v="20"/>
    <n v="15"/>
    <x v="14"/>
  </r>
  <r>
    <n v="3411"/>
    <s v="Samuel Viana"/>
    <x v="2"/>
    <d v="2024-08-24T00:00:00"/>
    <x v="1"/>
    <n v="10"/>
    <x v="0"/>
    <s v="No"/>
    <x v="1"/>
    <s v="Yes"/>
    <n v="20"/>
    <n v="5"/>
    <x v="13"/>
  </r>
  <r>
    <n v="3412"/>
    <s v="Tatiane Rocha"/>
    <x v="1"/>
    <d v="2024-08-25T00:00:00"/>
    <x v="0"/>
    <n v="5"/>
    <x v="1"/>
    <s v="No"/>
    <x v="1"/>
    <s v="No"/>
    <n v="0"/>
    <n v="0"/>
    <x v="1"/>
  </r>
  <r>
    <n v="3413"/>
    <s v="Ulysses Farias"/>
    <x v="0"/>
    <d v="2024-08-26T00:00:00"/>
    <x v="1"/>
    <n v="15"/>
    <x v="2"/>
    <s v="Yes"/>
    <x v="0"/>
    <s v="Yes"/>
    <n v="20"/>
    <n v="20"/>
    <x v="8"/>
  </r>
  <r>
    <n v="3414"/>
    <s v="Vanessa Moreira"/>
    <x v="2"/>
    <d v="2024-08-27T00:00:00"/>
    <x v="0"/>
    <n v="10"/>
    <x v="2"/>
    <s v="No"/>
    <x v="1"/>
    <s v="Yes"/>
    <n v="20"/>
    <n v="12"/>
    <x v="10"/>
  </r>
  <r>
    <n v="3415"/>
    <s v="William Carvalho"/>
    <x v="1"/>
    <d v="2024-08-28T00:00:00"/>
    <x v="1"/>
    <n v="5"/>
    <x v="0"/>
    <s v="No"/>
    <x v="1"/>
    <s v="No"/>
    <n v="0"/>
    <n v="2"/>
    <x v="11"/>
  </r>
  <r>
    <n v="3416"/>
    <s v="Ximena Barros"/>
    <x v="0"/>
    <d v="2024-08-29T00:00:00"/>
    <x v="0"/>
    <n v="15"/>
    <x v="1"/>
    <s v="Yes"/>
    <x v="0"/>
    <s v="Yes"/>
    <n v="20"/>
    <n v="5"/>
    <x v="0"/>
  </r>
  <r>
    <n v="3417"/>
    <s v="Yara Machado"/>
    <x v="2"/>
    <d v="2024-08-30T00:00:00"/>
    <x v="1"/>
    <n v="10"/>
    <x v="0"/>
    <s v="No"/>
    <x v="1"/>
    <s v="Yes"/>
    <n v="20"/>
    <n v="10"/>
    <x v="2"/>
  </r>
  <r>
    <n v="3418"/>
    <s v="Zacarias Costa"/>
    <x v="1"/>
    <d v="2024-08-31T00:00:00"/>
    <x v="0"/>
    <n v="5"/>
    <x v="2"/>
    <s v="No"/>
    <x v="1"/>
    <s v="No"/>
    <n v="0"/>
    <n v="0"/>
    <x v="1"/>
  </r>
  <r>
    <n v="3419"/>
    <s v="André Lopes"/>
    <x v="0"/>
    <d v="2024-09-01T00:00:00"/>
    <x v="1"/>
    <n v="15"/>
    <x v="0"/>
    <s v="Yes"/>
    <x v="0"/>
    <s v="Yes"/>
    <n v="20"/>
    <n v="3"/>
    <x v="3"/>
  </r>
  <r>
    <n v="3420"/>
    <s v="Beatriz Souza"/>
    <x v="2"/>
    <d v="2024-09-02T00:00:00"/>
    <x v="0"/>
    <n v="10"/>
    <x v="1"/>
    <s v="No"/>
    <x v="1"/>
    <s v="Yes"/>
    <n v="20"/>
    <n v="15"/>
    <x v="7"/>
  </r>
  <r>
    <n v="3421"/>
    <s v="Caio Pereira"/>
    <x v="1"/>
    <d v="2024-09-03T00:00:00"/>
    <x v="1"/>
    <n v="5"/>
    <x v="0"/>
    <s v="No"/>
    <x v="1"/>
    <s v="No"/>
    <n v="0"/>
    <n v="1"/>
    <x v="4"/>
  </r>
  <r>
    <n v="3422"/>
    <s v="Daniela Araújo"/>
    <x v="0"/>
    <d v="2024-09-04T00:00:00"/>
    <x v="0"/>
    <n v="15"/>
    <x v="2"/>
    <s v="Yes"/>
    <x v="0"/>
    <s v="Yes"/>
    <n v="20"/>
    <n v="7"/>
    <x v="12"/>
  </r>
  <r>
    <n v="3423"/>
    <s v="Eduardo Santos"/>
    <x v="2"/>
    <d v="2024-09-05T00:00:00"/>
    <x v="1"/>
    <n v="10"/>
    <x v="0"/>
    <s v="No"/>
    <x v="1"/>
    <s v="Yes"/>
    <n v="20"/>
    <n v="10"/>
    <x v="2"/>
  </r>
  <r>
    <n v="3424"/>
    <s v="Fernanda Lima"/>
    <x v="1"/>
    <d v="2024-09-06T00:00:00"/>
    <x v="0"/>
    <n v="5"/>
    <x v="1"/>
    <s v="No"/>
    <x v="1"/>
    <s v="No"/>
    <n v="0"/>
    <n v="0"/>
    <x v="1"/>
  </r>
  <r>
    <n v="3425"/>
    <s v="Gabriel Teixeira"/>
    <x v="0"/>
    <d v="2024-09-07T00:00:00"/>
    <x v="1"/>
    <n v="15"/>
    <x v="0"/>
    <s v="Yes"/>
    <x v="0"/>
    <s v="Yes"/>
    <n v="20"/>
    <n v="20"/>
    <x v="8"/>
  </r>
  <r>
    <n v="3426"/>
    <s v="Helena Ribeiro"/>
    <x v="2"/>
    <d v="2024-09-08T00:00:00"/>
    <x v="0"/>
    <n v="10"/>
    <x v="2"/>
    <s v="No"/>
    <x v="1"/>
    <s v="Yes"/>
    <n v="20"/>
    <n v="15"/>
    <x v="7"/>
  </r>
  <r>
    <n v="3427"/>
    <s v="Igor Mendes"/>
    <x v="1"/>
    <d v="2024-09-09T00:00:00"/>
    <x v="1"/>
    <n v="5"/>
    <x v="0"/>
    <s v="No"/>
    <x v="1"/>
    <s v="No"/>
    <n v="0"/>
    <n v="1"/>
    <x v="4"/>
  </r>
  <r>
    <n v="3428"/>
    <s v="Joana Silveira"/>
    <x v="0"/>
    <d v="2024-09-10T00:00:00"/>
    <x v="0"/>
    <n v="15"/>
    <x v="1"/>
    <s v="Yes"/>
    <x v="0"/>
    <s v="Yes"/>
    <n v="20"/>
    <n v="3"/>
    <x v="3"/>
  </r>
  <r>
    <n v="3429"/>
    <s v="Lucas Martins"/>
    <x v="2"/>
    <d v="2024-09-11T00:00:00"/>
    <x v="1"/>
    <n v="10"/>
    <x v="0"/>
    <s v="No"/>
    <x v="1"/>
    <s v="Yes"/>
    <n v="20"/>
    <n v="10"/>
    <x v="2"/>
  </r>
  <r>
    <n v="3430"/>
    <s v="Marcela Gouveia"/>
    <x v="1"/>
    <d v="2024-09-12T00:00:00"/>
    <x v="0"/>
    <n v="5"/>
    <x v="2"/>
    <s v="No"/>
    <x v="1"/>
    <s v="No"/>
    <n v="0"/>
    <n v="0"/>
    <x v="1"/>
  </r>
  <r>
    <n v="3431"/>
    <s v="Nicolas Borges"/>
    <x v="0"/>
    <d v="2024-09-13T00:00:00"/>
    <x v="1"/>
    <n v="15"/>
    <x v="0"/>
    <s v="Yes"/>
    <x v="0"/>
    <s v="Yes"/>
    <n v="20"/>
    <n v="15"/>
    <x v="14"/>
  </r>
  <r>
    <n v="3432"/>
    <s v="Olivia Freitas"/>
    <x v="2"/>
    <d v="2024-09-14T00:00:00"/>
    <x v="0"/>
    <n v="10"/>
    <x v="1"/>
    <s v="No"/>
    <x v="1"/>
    <s v="Yes"/>
    <n v="20"/>
    <n v="15"/>
    <x v="7"/>
  </r>
  <r>
    <n v="3433"/>
    <s v="Paulo Nogueira"/>
    <x v="1"/>
    <d v="2024-09-15T00:00:00"/>
    <x v="1"/>
    <n v="5"/>
    <x v="0"/>
    <s v="No"/>
    <x v="1"/>
    <s v="No"/>
    <n v="0"/>
    <n v="1"/>
    <x v="4"/>
  </r>
  <r>
    <n v="3434"/>
    <s v="Raquel Andrade"/>
    <x v="0"/>
    <d v="2024-09-16T00:00:00"/>
    <x v="0"/>
    <n v="15"/>
    <x v="2"/>
    <s v="Yes"/>
    <x v="0"/>
    <s v="Yes"/>
    <n v="20"/>
    <n v="7"/>
    <x v="12"/>
  </r>
  <r>
    <n v="3435"/>
    <s v="Sônia Carvalho"/>
    <x v="2"/>
    <d v="2024-09-17T00:00:00"/>
    <x v="1"/>
    <n v="10"/>
    <x v="0"/>
    <s v="No"/>
    <x v="1"/>
    <s v="Yes"/>
    <n v="20"/>
    <n v="10"/>
    <x v="2"/>
  </r>
  <r>
    <n v="3436"/>
    <s v="Tiago Rodrigues"/>
    <x v="1"/>
    <d v="2024-09-18T00:00:00"/>
    <x v="0"/>
    <n v="5"/>
    <x v="0"/>
    <s v="No"/>
    <x v="1"/>
    <s v="No"/>
    <n v="0"/>
    <n v="0"/>
    <x v="1"/>
  </r>
  <r>
    <n v="3437"/>
    <s v="Ursula Monteiro"/>
    <x v="0"/>
    <d v="2024-09-19T00:00:00"/>
    <x v="1"/>
    <n v="15"/>
    <x v="2"/>
    <s v="Yes"/>
    <x v="0"/>
    <s v="Yes"/>
    <n v="20"/>
    <n v="7"/>
    <x v="12"/>
  </r>
  <r>
    <n v="3438"/>
    <s v="Vanessa Pereira"/>
    <x v="2"/>
    <d v="2024-09-20T00:00:00"/>
    <x v="0"/>
    <n v="10"/>
    <x v="1"/>
    <s v="No"/>
    <x v="1"/>
    <s v="Yes"/>
    <n v="20"/>
    <n v="10"/>
    <x v="2"/>
  </r>
  <r>
    <n v="3439"/>
    <s v="Walter Silva"/>
    <x v="1"/>
    <d v="2024-09-21T00:00:00"/>
    <x v="1"/>
    <n v="5"/>
    <x v="2"/>
    <s v="No"/>
    <x v="1"/>
    <s v="No"/>
    <n v="0"/>
    <n v="1"/>
    <x v="4"/>
  </r>
  <r>
    <n v="3440"/>
    <s v="Xavier Almeida"/>
    <x v="0"/>
    <d v="2024-09-22T00:00:00"/>
    <x v="0"/>
    <n v="15"/>
    <x v="0"/>
    <s v="Yes"/>
    <x v="0"/>
    <s v="Yes"/>
    <n v="20"/>
    <n v="15"/>
    <x v="14"/>
  </r>
  <r>
    <n v="3441"/>
    <s v="Yasmine Correia"/>
    <x v="2"/>
    <d v="2024-09-23T00:00:00"/>
    <x v="1"/>
    <n v="10"/>
    <x v="0"/>
    <s v="No"/>
    <x v="1"/>
    <s v="Yes"/>
    <n v="20"/>
    <n v="5"/>
    <x v="13"/>
  </r>
  <r>
    <n v="3442"/>
    <s v="Zacarias Almeida"/>
    <x v="1"/>
    <d v="2024-09-24T00:00:00"/>
    <x v="0"/>
    <n v="5"/>
    <x v="1"/>
    <s v="No"/>
    <x v="1"/>
    <s v="No"/>
    <n v="0"/>
    <n v="0"/>
    <x v="1"/>
  </r>
  <r>
    <n v="3443"/>
    <s v="Amanda Costa"/>
    <x v="0"/>
    <d v="2024-09-25T00:00:00"/>
    <x v="1"/>
    <n v="15"/>
    <x v="2"/>
    <s v="Yes"/>
    <x v="0"/>
    <s v="Yes"/>
    <n v="20"/>
    <n v="20"/>
    <x v="8"/>
  </r>
  <r>
    <n v="3444"/>
    <s v="Bruno Ferreira"/>
    <x v="2"/>
    <d v="2024-09-26T00:00:00"/>
    <x v="0"/>
    <n v="10"/>
    <x v="2"/>
    <s v="No"/>
    <x v="1"/>
    <s v="Yes"/>
    <n v="20"/>
    <n v="12"/>
    <x v="10"/>
  </r>
  <r>
    <n v="3445"/>
    <s v="Carla Dias"/>
    <x v="1"/>
    <d v="2024-09-27T00:00:00"/>
    <x v="1"/>
    <n v="5"/>
    <x v="0"/>
    <s v="No"/>
    <x v="1"/>
    <s v="No"/>
    <n v="0"/>
    <n v="2"/>
    <x v="11"/>
  </r>
  <r>
    <n v="3446"/>
    <s v="Diogo Martins"/>
    <x v="0"/>
    <d v="2024-09-28T00:00:00"/>
    <x v="0"/>
    <n v="15"/>
    <x v="1"/>
    <s v="Yes"/>
    <x v="0"/>
    <s v="Yes"/>
    <n v="20"/>
    <n v="5"/>
    <x v="0"/>
  </r>
  <r>
    <n v="3447"/>
    <s v="Elisa Campos"/>
    <x v="2"/>
    <d v="2024-09-29T00:00:00"/>
    <x v="1"/>
    <n v="10"/>
    <x v="0"/>
    <s v="No"/>
    <x v="1"/>
    <s v="Yes"/>
    <n v="20"/>
    <n v="10"/>
    <x v="2"/>
  </r>
  <r>
    <n v="3448"/>
    <s v="Fabiana Lima"/>
    <x v="1"/>
    <d v="2024-09-30T00:00:00"/>
    <x v="0"/>
    <n v="5"/>
    <x v="2"/>
    <s v="No"/>
    <x v="1"/>
    <s v="No"/>
    <n v="0"/>
    <n v="0"/>
    <x v="1"/>
  </r>
  <r>
    <n v="3449"/>
    <s v="Gabriel Santos"/>
    <x v="0"/>
    <d v="2024-10-01T00:00:00"/>
    <x v="1"/>
    <n v="15"/>
    <x v="0"/>
    <s v="Yes"/>
    <x v="0"/>
    <s v="Yes"/>
    <n v="20"/>
    <n v="3"/>
    <x v="3"/>
  </r>
  <r>
    <n v="3450"/>
    <s v="Helena Ferreira"/>
    <x v="2"/>
    <d v="2024-10-02T00:00:00"/>
    <x v="0"/>
    <n v="10"/>
    <x v="1"/>
    <s v="No"/>
    <x v="1"/>
    <s v="Yes"/>
    <n v="20"/>
    <n v="15"/>
    <x v="7"/>
  </r>
  <r>
    <n v="3451"/>
    <s v="Ígor Nunes"/>
    <x v="1"/>
    <d v="2024-10-03T00:00:00"/>
    <x v="1"/>
    <n v="5"/>
    <x v="0"/>
    <s v="No"/>
    <x v="1"/>
    <s v="No"/>
    <n v="0"/>
    <n v="1"/>
    <x v="4"/>
  </r>
  <r>
    <n v="3452"/>
    <s v="Joana Silveira"/>
    <x v="0"/>
    <d v="2024-10-04T00:00:00"/>
    <x v="0"/>
    <n v="15"/>
    <x v="2"/>
    <s v="Yes"/>
    <x v="0"/>
    <s v="Yes"/>
    <n v="20"/>
    <n v="7"/>
    <x v="12"/>
  </r>
  <r>
    <n v="3453"/>
    <s v="Kléber Oliveira"/>
    <x v="2"/>
    <d v="2024-10-05T00:00:00"/>
    <x v="1"/>
    <n v="10"/>
    <x v="0"/>
    <s v="No"/>
    <x v="1"/>
    <s v="Yes"/>
    <n v="20"/>
    <n v="10"/>
    <x v="2"/>
  </r>
  <r>
    <n v="3454"/>
    <s v="Luciana Morais"/>
    <x v="1"/>
    <d v="2024-10-06T00:00:00"/>
    <x v="0"/>
    <n v="5"/>
    <x v="1"/>
    <s v="No"/>
    <x v="1"/>
    <s v="No"/>
    <n v="0"/>
    <n v="0"/>
    <x v="1"/>
  </r>
  <r>
    <n v="3455"/>
    <s v="Marcos Vinícius"/>
    <x v="0"/>
    <d v="2024-10-07T00:00:00"/>
    <x v="1"/>
    <n v="15"/>
    <x v="0"/>
    <s v="Yes"/>
    <x v="0"/>
    <s v="Yes"/>
    <n v="20"/>
    <n v="20"/>
    <x v="8"/>
  </r>
  <r>
    <n v="3456"/>
    <s v="Natália Barros"/>
    <x v="2"/>
    <d v="2024-10-08T00:00:00"/>
    <x v="0"/>
    <n v="10"/>
    <x v="2"/>
    <s v="No"/>
    <x v="1"/>
    <s v="Yes"/>
    <n v="20"/>
    <n v="15"/>
    <x v="7"/>
  </r>
  <r>
    <n v="3457"/>
    <s v="Oscar Sampaio"/>
    <x v="1"/>
    <d v="2024-10-09T00:00:00"/>
    <x v="1"/>
    <n v="5"/>
    <x v="0"/>
    <s v="No"/>
    <x v="1"/>
    <s v="No"/>
    <n v="0"/>
    <n v="1"/>
    <x v="4"/>
  </r>
  <r>
    <n v="3458"/>
    <s v="Patrícia Leite"/>
    <x v="0"/>
    <d v="2024-10-10T00:00:00"/>
    <x v="0"/>
    <n v="15"/>
    <x v="1"/>
    <s v="Yes"/>
    <x v="0"/>
    <s v="Yes"/>
    <n v="20"/>
    <n v="3"/>
    <x v="3"/>
  </r>
  <r>
    <n v="3459"/>
    <s v="Quênia Rocha"/>
    <x v="2"/>
    <d v="2024-10-11T00:00:00"/>
    <x v="1"/>
    <n v="10"/>
    <x v="0"/>
    <s v="No"/>
    <x v="1"/>
    <s v="Yes"/>
    <n v="20"/>
    <n v="10"/>
    <x v="2"/>
  </r>
  <r>
    <n v="3460"/>
    <s v="Rafael Torres"/>
    <x v="1"/>
    <d v="2024-10-12T00:00:00"/>
    <x v="0"/>
    <n v="5"/>
    <x v="2"/>
    <s v="No"/>
    <x v="1"/>
    <s v="No"/>
    <n v="0"/>
    <n v="0"/>
    <x v="1"/>
  </r>
  <r>
    <n v="3461"/>
    <s v="Sandra Gouveia"/>
    <x v="0"/>
    <d v="2024-10-13T00:00:00"/>
    <x v="1"/>
    <n v="15"/>
    <x v="0"/>
    <s v="Yes"/>
    <x v="0"/>
    <s v="Yes"/>
    <n v="20"/>
    <n v="15"/>
    <x v="14"/>
  </r>
  <r>
    <n v="3462"/>
    <s v="Tiago Lacerda"/>
    <x v="2"/>
    <d v="2024-10-14T00:00:00"/>
    <x v="0"/>
    <n v="10"/>
    <x v="1"/>
    <s v="No"/>
    <x v="1"/>
    <s v="Yes"/>
    <n v="20"/>
    <n v="15"/>
    <x v="7"/>
  </r>
  <r>
    <n v="3463"/>
    <s v="Ursula Fonseca"/>
    <x v="1"/>
    <d v="2024-10-15T00:00:00"/>
    <x v="1"/>
    <n v="5"/>
    <x v="0"/>
    <s v="No"/>
    <x v="1"/>
    <s v="No"/>
    <n v="0"/>
    <n v="1"/>
    <x v="4"/>
  </r>
  <r>
    <n v="3464"/>
    <s v="Vanessa Andrade"/>
    <x v="0"/>
    <d v="2024-10-16T00:00:00"/>
    <x v="0"/>
    <n v="15"/>
    <x v="2"/>
    <s v="Yes"/>
    <x v="0"/>
    <s v="Yes"/>
    <n v="20"/>
    <n v="7"/>
    <x v="12"/>
  </r>
  <r>
    <n v="3465"/>
    <s v="William Castro"/>
    <x v="2"/>
    <d v="2024-10-17T00:00:00"/>
    <x v="1"/>
    <n v="10"/>
    <x v="0"/>
    <s v="No"/>
    <x v="1"/>
    <s v="Yes"/>
    <n v="20"/>
    <n v="10"/>
    <x v="2"/>
  </r>
  <r>
    <n v="3466"/>
    <s v="Xavier Monteiro"/>
    <x v="1"/>
    <d v="2024-10-18T00:00:00"/>
    <x v="0"/>
    <n v="5"/>
    <x v="1"/>
    <s v="No"/>
    <x v="1"/>
    <s v="No"/>
    <n v="0"/>
    <n v="0"/>
    <x v="1"/>
  </r>
  <r>
    <n v="3467"/>
    <s v="Yasmin Figueira"/>
    <x v="0"/>
    <d v="2024-10-19T00:00:00"/>
    <x v="1"/>
    <n v="15"/>
    <x v="0"/>
    <s v="Yes"/>
    <x v="0"/>
    <s v="Yes"/>
    <n v="20"/>
    <n v="15"/>
    <x v="14"/>
  </r>
  <r>
    <n v="3468"/>
    <s v="Zacarias Mendonça"/>
    <x v="2"/>
    <d v="2024-10-20T00:00:00"/>
    <x v="0"/>
    <n v="10"/>
    <x v="2"/>
    <s v="No"/>
    <x v="1"/>
    <s v="Yes"/>
    <n v="20"/>
    <n v="12"/>
    <x v="10"/>
  </r>
  <r>
    <n v="3469"/>
    <s v="Amanda Menezes"/>
    <x v="1"/>
    <d v="2024-10-21T00:00:00"/>
    <x v="1"/>
    <n v="5"/>
    <x v="0"/>
    <s v="No"/>
    <x v="1"/>
    <s v="No"/>
    <n v="0"/>
    <n v="2"/>
    <x v="11"/>
  </r>
  <r>
    <n v="3470"/>
    <s v="Bruno Santos"/>
    <x v="0"/>
    <d v="2024-10-22T00:00:00"/>
    <x v="0"/>
    <n v="15"/>
    <x v="1"/>
    <s v="Yes"/>
    <x v="0"/>
    <s v="Yes"/>
    <n v="20"/>
    <n v="5"/>
    <x v="0"/>
  </r>
  <r>
    <n v="3471"/>
    <s v="Carla Ferreira"/>
    <x v="2"/>
    <d v="2024-10-23T00:00:00"/>
    <x v="1"/>
    <n v="10"/>
    <x v="0"/>
    <s v="No"/>
    <x v="1"/>
    <s v="Yes"/>
    <n v="20"/>
    <n v="10"/>
    <x v="2"/>
  </r>
  <r>
    <n v="3472"/>
    <s v="Diogo Alves"/>
    <x v="1"/>
    <d v="2024-10-24T00:00:00"/>
    <x v="0"/>
    <n v="5"/>
    <x v="2"/>
    <s v="No"/>
    <x v="1"/>
    <s v="No"/>
    <n v="0"/>
    <n v="0"/>
    <x v="1"/>
  </r>
  <r>
    <n v="3473"/>
    <s v="Elisa Neves"/>
    <x v="0"/>
    <d v="2024-10-25T00:00:00"/>
    <x v="1"/>
    <n v="15"/>
    <x v="0"/>
    <s v="Yes"/>
    <x v="0"/>
    <s v="Yes"/>
    <n v="20"/>
    <n v="3"/>
    <x v="3"/>
  </r>
  <r>
    <n v="3474"/>
    <s v="Fabiano Pires"/>
    <x v="2"/>
    <d v="2024-10-26T00:00:00"/>
    <x v="0"/>
    <n v="10"/>
    <x v="1"/>
    <s v="No"/>
    <x v="1"/>
    <s v="Yes"/>
    <n v="20"/>
    <n v="15"/>
    <x v="7"/>
  </r>
  <r>
    <n v="3475"/>
    <s v="Giovana Ribeiro"/>
    <x v="1"/>
    <d v="2024-10-27T00:00:00"/>
    <x v="1"/>
    <n v="5"/>
    <x v="0"/>
    <s v="No"/>
    <x v="1"/>
    <s v="No"/>
    <n v="0"/>
    <n v="1"/>
    <x v="4"/>
  </r>
  <r>
    <n v="3476"/>
    <s v="Hélio Costa"/>
    <x v="0"/>
    <d v="2024-10-28T00:00:00"/>
    <x v="0"/>
    <n v="15"/>
    <x v="2"/>
    <s v="Yes"/>
    <x v="0"/>
    <s v="Yes"/>
    <n v="20"/>
    <n v="7"/>
    <x v="12"/>
  </r>
  <r>
    <n v="3477"/>
    <s v="Íris Loureiro"/>
    <x v="2"/>
    <d v="2024-10-29T00:00:00"/>
    <x v="1"/>
    <n v="10"/>
    <x v="0"/>
    <s v="No"/>
    <x v="1"/>
    <s v="Yes"/>
    <n v="20"/>
    <n v="10"/>
    <x v="2"/>
  </r>
  <r>
    <n v="3478"/>
    <s v="João Pereira"/>
    <x v="1"/>
    <d v="2024-10-30T00:00:00"/>
    <x v="0"/>
    <n v="5"/>
    <x v="1"/>
    <s v="No"/>
    <x v="1"/>
    <s v="No"/>
    <n v="0"/>
    <n v="0"/>
    <x v="1"/>
  </r>
  <r>
    <n v="3479"/>
    <s v="Klara Silva"/>
    <x v="0"/>
    <d v="2024-10-31T00:00:00"/>
    <x v="1"/>
    <n v="15"/>
    <x v="0"/>
    <s v="Yes"/>
    <x v="0"/>
    <s v="Yes"/>
    <n v="20"/>
    <n v="20"/>
    <x v="8"/>
  </r>
  <r>
    <n v="3480"/>
    <s v="Luciana Barros"/>
    <x v="2"/>
    <d v="2024-11-01T00:00:00"/>
    <x v="0"/>
    <n v="10"/>
    <x v="2"/>
    <s v="No"/>
    <x v="1"/>
    <s v="Yes"/>
    <n v="20"/>
    <n v="15"/>
    <x v="7"/>
  </r>
  <r>
    <n v="3481"/>
    <s v="Marcos Gomes"/>
    <x v="1"/>
    <d v="2024-11-02T00:00:00"/>
    <x v="1"/>
    <n v="5"/>
    <x v="0"/>
    <s v="No"/>
    <x v="1"/>
    <s v="No"/>
    <n v="0"/>
    <n v="1"/>
    <x v="4"/>
  </r>
  <r>
    <n v="3482"/>
    <s v="Natália Soares"/>
    <x v="0"/>
    <d v="2024-11-03T00:00:00"/>
    <x v="0"/>
    <n v="15"/>
    <x v="1"/>
    <s v="Yes"/>
    <x v="0"/>
    <s v="Yes"/>
    <n v="20"/>
    <n v="3"/>
    <x v="3"/>
  </r>
  <r>
    <n v="3483"/>
    <s v="Oscar Machado"/>
    <x v="2"/>
    <d v="2024-11-04T00:00:00"/>
    <x v="1"/>
    <n v="10"/>
    <x v="0"/>
    <s v="No"/>
    <x v="1"/>
    <s v="Yes"/>
    <n v="20"/>
    <n v="10"/>
    <x v="2"/>
  </r>
  <r>
    <n v="3484"/>
    <s v="Patrícia Lima"/>
    <x v="1"/>
    <d v="2024-11-05T00:00:00"/>
    <x v="0"/>
    <n v="5"/>
    <x v="2"/>
    <s v="No"/>
    <x v="1"/>
    <s v="No"/>
    <n v="0"/>
    <n v="0"/>
    <x v="1"/>
  </r>
  <r>
    <n v="3485"/>
    <s v="Quirino Neto"/>
    <x v="0"/>
    <d v="2024-11-06T00:00:00"/>
    <x v="1"/>
    <n v="15"/>
    <x v="0"/>
    <s v="Yes"/>
    <x v="0"/>
    <s v="Yes"/>
    <n v="20"/>
    <n v="15"/>
    <x v="14"/>
  </r>
  <r>
    <n v="3486"/>
    <s v="Rafaela Souza"/>
    <x v="1"/>
    <d v="2024-11-07T00:00:00"/>
    <x v="0"/>
    <n v="5"/>
    <x v="0"/>
    <s v="No"/>
    <x v="1"/>
    <s v="No"/>
    <n v="0"/>
    <n v="0"/>
    <x v="1"/>
  </r>
  <r>
    <n v="3487"/>
    <s v="Sandro Almeida"/>
    <x v="0"/>
    <d v="2024-11-08T00:00:00"/>
    <x v="1"/>
    <n v="15"/>
    <x v="2"/>
    <s v="Yes"/>
    <x v="0"/>
    <s v="Yes"/>
    <n v="20"/>
    <n v="7"/>
    <x v="12"/>
  </r>
  <r>
    <n v="3488"/>
    <s v="Tânia Ribeiro"/>
    <x v="2"/>
    <d v="2024-11-09T00:00:00"/>
    <x v="0"/>
    <n v="10"/>
    <x v="1"/>
    <s v="No"/>
    <x v="1"/>
    <s v="Yes"/>
    <n v="20"/>
    <n v="10"/>
    <x v="2"/>
  </r>
  <r>
    <n v="3489"/>
    <s v="Ugo Dias"/>
    <x v="1"/>
    <d v="2024-11-10T00:00:00"/>
    <x v="1"/>
    <n v="5"/>
    <x v="2"/>
    <s v="No"/>
    <x v="1"/>
    <s v="No"/>
    <n v="0"/>
    <n v="1"/>
    <x v="4"/>
  </r>
  <r>
    <n v="3490"/>
    <s v="Valéria Lima"/>
    <x v="0"/>
    <d v="2024-11-11T00:00:00"/>
    <x v="0"/>
    <n v="15"/>
    <x v="0"/>
    <s v="Yes"/>
    <x v="0"/>
    <s v="Yes"/>
    <n v="20"/>
    <n v="15"/>
    <x v="14"/>
  </r>
  <r>
    <n v="3491"/>
    <s v="William Fernandes"/>
    <x v="2"/>
    <d v="2024-11-12T00:00:00"/>
    <x v="1"/>
    <n v="10"/>
    <x v="0"/>
    <s v="No"/>
    <x v="1"/>
    <s v="Yes"/>
    <n v="20"/>
    <n v="5"/>
    <x v="13"/>
  </r>
  <r>
    <n v="3492"/>
    <s v="Xuxa Mendes"/>
    <x v="1"/>
    <d v="2024-11-13T00:00:00"/>
    <x v="0"/>
    <n v="5"/>
    <x v="1"/>
    <s v="No"/>
    <x v="1"/>
    <s v="No"/>
    <n v="0"/>
    <n v="0"/>
    <x v="1"/>
  </r>
  <r>
    <n v="3493"/>
    <s v="Ygor Farias"/>
    <x v="0"/>
    <d v="2024-11-14T00:00:00"/>
    <x v="1"/>
    <n v="15"/>
    <x v="2"/>
    <s v="Yes"/>
    <x v="0"/>
    <s v="Yes"/>
    <n v="20"/>
    <n v="20"/>
    <x v="8"/>
  </r>
  <r>
    <n v="3494"/>
    <s v="Zilda Barros"/>
    <x v="2"/>
    <d v="2024-11-15T00:00:00"/>
    <x v="0"/>
    <n v="10"/>
    <x v="2"/>
    <s v="No"/>
    <x v="1"/>
    <s v="Yes"/>
    <n v="20"/>
    <n v="12"/>
    <x v="10"/>
  </r>
  <r>
    <n v="3495"/>
    <s v="Amanda Santos"/>
    <x v="1"/>
    <d v="2024-11-16T00:00:00"/>
    <x v="1"/>
    <n v="5"/>
    <x v="0"/>
    <s v="No"/>
    <x v="1"/>
    <s v="No"/>
    <n v="0"/>
    <n v="2"/>
    <x v="11"/>
  </r>
  <r>
    <n v="3496"/>
    <s v="Bruno Costa"/>
    <x v="0"/>
    <d v="2024-11-17T00:00:00"/>
    <x v="0"/>
    <n v="15"/>
    <x v="1"/>
    <s v="Yes"/>
    <x v="0"/>
    <s v="Yes"/>
    <n v="20"/>
    <n v="5"/>
    <x v="0"/>
  </r>
  <r>
    <n v="3497"/>
    <s v="Carla Rodrigues"/>
    <x v="2"/>
    <d v="2024-11-18T00:00:00"/>
    <x v="1"/>
    <n v="10"/>
    <x v="0"/>
    <s v="No"/>
    <x v="1"/>
    <s v="Yes"/>
    <n v="20"/>
    <n v="10"/>
    <x v="2"/>
  </r>
  <r>
    <n v="3498"/>
    <s v="Diogo Pereira"/>
    <x v="1"/>
    <d v="2024-11-19T00:00:00"/>
    <x v="0"/>
    <n v="5"/>
    <x v="2"/>
    <s v="No"/>
    <x v="1"/>
    <s v="No"/>
    <n v="0"/>
    <n v="0"/>
    <x v="1"/>
  </r>
  <r>
    <n v="3499"/>
    <s v="Elisa Correia"/>
    <x v="0"/>
    <d v="2024-11-20T00:00:00"/>
    <x v="1"/>
    <n v="15"/>
    <x v="0"/>
    <s v="Yes"/>
    <x v="0"/>
    <s v="Yes"/>
    <n v="20"/>
    <n v="3"/>
    <x v="3"/>
  </r>
  <r>
    <n v="3500"/>
    <s v="Fábio Lourenço"/>
    <x v="2"/>
    <d v="2024-11-21T00:00:00"/>
    <x v="0"/>
    <n v="10"/>
    <x v="1"/>
    <s v="No"/>
    <x v="1"/>
    <s v="Yes"/>
    <n v="20"/>
    <n v="15"/>
    <x v="7"/>
  </r>
  <r>
    <n v="3501"/>
    <s v="Gabriela Neves"/>
    <x v="1"/>
    <d v="2024-11-22T00:00:00"/>
    <x v="1"/>
    <n v="5"/>
    <x v="0"/>
    <s v="No"/>
    <x v="1"/>
    <s v="No"/>
    <n v="0"/>
    <n v="1"/>
    <x v="4"/>
  </r>
  <r>
    <n v="3502"/>
    <s v="Henrique Gonçalves"/>
    <x v="0"/>
    <d v="2024-11-23T00:00:00"/>
    <x v="0"/>
    <n v="15"/>
    <x v="2"/>
    <s v="Yes"/>
    <x v="0"/>
    <s v="Yes"/>
    <n v="20"/>
    <n v="7"/>
    <x v="12"/>
  </r>
  <r>
    <n v="3503"/>
    <s v="Íris Santos"/>
    <x v="2"/>
    <d v="2024-11-24T00:00:00"/>
    <x v="1"/>
    <n v="10"/>
    <x v="0"/>
    <s v="No"/>
    <x v="1"/>
    <s v="Yes"/>
    <n v="20"/>
    <n v="10"/>
    <x v="2"/>
  </r>
  <r>
    <n v="3504"/>
    <s v="João Marcelo Alves"/>
    <x v="1"/>
    <d v="2024-11-25T00:00:00"/>
    <x v="0"/>
    <n v="5"/>
    <x v="1"/>
    <s v="No"/>
    <x v="1"/>
    <s v="No"/>
    <n v="0"/>
    <n v="0"/>
    <x v="1"/>
  </r>
  <r>
    <n v="3505"/>
    <s v="Klara Fonseca"/>
    <x v="0"/>
    <d v="2024-11-26T00:00:00"/>
    <x v="1"/>
    <n v="15"/>
    <x v="0"/>
    <s v="Yes"/>
    <x v="0"/>
    <s v="Yes"/>
    <n v="20"/>
    <n v="20"/>
    <x v="8"/>
  </r>
  <r>
    <n v="3506"/>
    <s v="Lucas Mendonça"/>
    <x v="2"/>
    <d v="2024-11-27T00:00:00"/>
    <x v="0"/>
    <n v="10"/>
    <x v="2"/>
    <s v="No"/>
    <x v="1"/>
    <s v="Yes"/>
    <n v="20"/>
    <n v="15"/>
    <x v="7"/>
  </r>
  <r>
    <n v="3507"/>
    <s v="Marcela Torres"/>
    <x v="1"/>
    <d v="2024-11-28T00:00:00"/>
    <x v="1"/>
    <n v="5"/>
    <x v="0"/>
    <s v="No"/>
    <x v="1"/>
    <s v="No"/>
    <n v="0"/>
    <n v="1"/>
    <x v="4"/>
  </r>
  <r>
    <n v="3508"/>
    <s v="Natália Castro"/>
    <x v="0"/>
    <d v="2024-11-29T00:00:00"/>
    <x v="0"/>
    <n v="15"/>
    <x v="1"/>
    <s v="Yes"/>
    <x v="0"/>
    <s v="Yes"/>
    <n v="20"/>
    <n v="3"/>
    <x v="3"/>
  </r>
  <r>
    <n v="3509"/>
    <s v="Oscar Martins"/>
    <x v="2"/>
    <d v="2024-11-30T00:00:00"/>
    <x v="1"/>
    <n v="10"/>
    <x v="0"/>
    <s v="No"/>
    <x v="1"/>
    <s v="Yes"/>
    <n v="20"/>
    <n v="10"/>
    <x v="2"/>
  </r>
  <r>
    <n v="3510"/>
    <s v="Patrícia Oliveira"/>
    <x v="1"/>
    <d v="2024-12-01T00:00:00"/>
    <x v="0"/>
    <n v="5"/>
    <x v="2"/>
    <s v="No"/>
    <x v="1"/>
    <s v="No"/>
    <n v="0"/>
    <n v="0"/>
    <x v="1"/>
  </r>
  <r>
    <n v="3511"/>
    <s v="Quentin Nogueira"/>
    <x v="0"/>
    <d v="2024-12-02T00:00:00"/>
    <x v="1"/>
    <n v="15"/>
    <x v="0"/>
    <s v="Yes"/>
    <x v="0"/>
    <s v="Yes"/>
    <n v="20"/>
    <n v="15"/>
    <x v="14"/>
  </r>
  <r>
    <n v="3512"/>
    <s v="Raquel Silva"/>
    <x v="2"/>
    <d v="2024-12-03T00:00:00"/>
    <x v="0"/>
    <n v="10"/>
    <x v="1"/>
    <s v="No"/>
    <x v="1"/>
    <s v="Yes"/>
    <n v="20"/>
    <n v="15"/>
    <x v="7"/>
  </r>
  <r>
    <n v="3513"/>
    <s v="Sandro Gomes"/>
    <x v="1"/>
    <d v="2024-12-04T00:00:00"/>
    <x v="1"/>
    <n v="5"/>
    <x v="0"/>
    <s v="No"/>
    <x v="1"/>
    <s v="No"/>
    <n v="0"/>
    <n v="1"/>
    <x v="4"/>
  </r>
  <r>
    <n v="3514"/>
    <s v="Tânia Machado"/>
    <x v="0"/>
    <d v="2024-12-05T00:00:00"/>
    <x v="0"/>
    <n v="15"/>
    <x v="2"/>
    <s v="Yes"/>
    <x v="0"/>
    <s v="Yes"/>
    <n v="20"/>
    <n v="7"/>
    <x v="12"/>
  </r>
  <r>
    <n v="3515"/>
    <s v="Ursula Silva"/>
    <x v="2"/>
    <d v="2024-12-06T00:00:00"/>
    <x v="1"/>
    <n v="10"/>
    <x v="0"/>
    <s v="No"/>
    <x v="1"/>
    <s v="Yes"/>
    <n v="20"/>
    <n v="10"/>
    <x v="2"/>
  </r>
  <r>
    <n v="3516"/>
    <s v="Vanessa Moraes"/>
    <x v="1"/>
    <d v="2024-12-07T00:00:00"/>
    <x v="0"/>
    <n v="5"/>
    <x v="1"/>
    <s v="No"/>
    <x v="1"/>
    <s v="No"/>
    <n v="0"/>
    <n v="0"/>
    <x v="1"/>
  </r>
  <r>
    <n v="3517"/>
    <s v="William Carvalho"/>
    <x v="0"/>
    <d v="2024-12-08T00:00:00"/>
    <x v="1"/>
    <n v="15"/>
    <x v="0"/>
    <s v="Yes"/>
    <x v="0"/>
    <s v="Yes"/>
    <n v="20"/>
    <n v="20"/>
    <x v="8"/>
  </r>
  <r>
    <n v="3518"/>
    <s v="Xavier Reis"/>
    <x v="2"/>
    <d v="2024-12-09T00:00:00"/>
    <x v="0"/>
    <n v="10"/>
    <x v="2"/>
    <s v="No"/>
    <x v="1"/>
    <s v="Yes"/>
    <n v="20"/>
    <n v="12"/>
    <x v="10"/>
  </r>
  <r>
    <n v="3519"/>
    <s v="Yasmin Rocha"/>
    <x v="1"/>
    <d v="2024-12-10T00:00:00"/>
    <x v="1"/>
    <n v="5"/>
    <x v="0"/>
    <s v="No"/>
    <x v="1"/>
    <s v="No"/>
    <n v="0"/>
    <n v="2"/>
    <x v="11"/>
  </r>
  <r>
    <n v="3520"/>
    <s v="Zacarias Duarte"/>
    <x v="0"/>
    <d v="2024-12-11T00:00:00"/>
    <x v="0"/>
    <n v="15"/>
    <x v="1"/>
    <s v="Yes"/>
    <x v="0"/>
    <s v="Yes"/>
    <n v="20"/>
    <n v="5"/>
    <x v="0"/>
  </r>
  <r>
    <n v="3521"/>
    <s v="Amanda Freitas"/>
    <x v="2"/>
    <d v="2024-12-12T00:00:00"/>
    <x v="1"/>
    <n v="10"/>
    <x v="0"/>
    <s v="No"/>
    <x v="1"/>
    <s v="Yes"/>
    <n v="20"/>
    <n v="10"/>
    <x v="2"/>
  </r>
  <r>
    <n v="3522"/>
    <s v="Bruno Almeida"/>
    <x v="1"/>
    <d v="2024-12-13T00:00:00"/>
    <x v="0"/>
    <n v="5"/>
    <x v="2"/>
    <s v="No"/>
    <x v="1"/>
    <s v="No"/>
    <n v="0"/>
    <n v="0"/>
    <x v="1"/>
  </r>
  <r>
    <n v="3523"/>
    <s v="Carla Siqueira"/>
    <x v="0"/>
    <d v="2024-12-14T00:00:00"/>
    <x v="1"/>
    <n v="15"/>
    <x v="0"/>
    <s v="Yes"/>
    <x v="0"/>
    <s v="Yes"/>
    <n v="20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36:C4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EA Season pass total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2419643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12:C15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4">
      <pivotArea collapsedLevelsAreSubtotals="1" fieldPosition="0">
        <references count="1">
          <reference field="4" count="0"/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1"/>
    <pivotTable tabId="3" name="EA Season pass total"/>
    <pivotTable tabId="3" name="Tabela dinâmica3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" rowHeight="241300"/>
</slicers>
</file>

<file path=xl/tables/table1.xml><?xml version="1.0" encoding="utf-8"?>
<table xmlns="http://schemas.openxmlformats.org/spreadsheetml/2006/main" id="1" name="Tabela1" displayName="Tabela1" ref="A1:M296" totalsRowShown="0" dataDxfId="18">
  <autoFilter ref="A1:M296"/>
  <tableColumns count="13">
    <tableColumn id="1" name="Subscriber ID" dataDxfId="17"/>
    <tableColumn id="2" name="Name" dataDxfId="16"/>
    <tableColumn id="3" name="Plan" dataDxfId="15"/>
    <tableColumn id="4" name="Start Date" dataDxfId="14"/>
    <tableColumn id="5" name="Auto Renewal" dataDxfId="13"/>
    <tableColumn id="6" name="Subscription Price" dataDxfId="12" dataCellStyle="Moeda"/>
    <tableColumn id="7" name="Subscription Type" dataDxfId="11"/>
    <tableColumn id="8" name="EA Play Season Pass" dataDxfId="10"/>
    <tableColumn id="13" name="EA Play Season Pass_x000a_Price" dataDxfId="9" dataCellStyle="Moeda"/>
    <tableColumn id="9" name="Minecraft Season Pass" dataDxfId="8"/>
    <tableColumn id="10" name="Minecraft Season Pass Price" dataDxfId="7" dataCellStyle="Moeda"/>
    <tableColumn id="11" name="Coupon Value" dataDxfId="6" dataCellStyle="Moeda"/>
    <tableColumn id="12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>
    <tabColor theme="3" tint="0.749992370372631"/>
  </sheetPr>
  <dimension ref="B3:P21"/>
  <sheetViews>
    <sheetView showGridLines="0" topLeftCell="A4" zoomScaleNormal="100" workbookViewId="0">
      <selection activeCell="B7" sqref="B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>
    <tabColor theme="3" tint="0.749992370372631"/>
  </sheetPr>
  <dimension ref="A1:M296"/>
  <sheetViews>
    <sheetView topLeftCell="A121" zoomScale="90" zoomScaleNormal="90" workbookViewId="0">
      <selection activeCell="B7" sqref="B7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>
    <tabColor theme="3" tint="0.749992370372631"/>
  </sheetPr>
  <dimension ref="B3:E40"/>
  <sheetViews>
    <sheetView showGridLines="0" topLeftCell="A22" workbookViewId="0">
      <selection activeCell="B7" sqref="B7"/>
    </sheetView>
  </sheetViews>
  <sheetFormatPr defaultRowHeight="14.25"/>
  <cols>
    <col min="1" max="1" width="4" customWidth="1"/>
    <col min="2" max="2" width="18" customWidth="1"/>
    <col min="3" max="3" width="35.125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5">
      <c r="B3" s="16" t="s">
        <v>313</v>
      </c>
      <c r="C3" s="16"/>
      <c r="D3" s="16"/>
      <c r="E3" s="16"/>
    </row>
    <row r="5" spans="2:5" ht="15">
      <c r="B5" t="s">
        <v>317</v>
      </c>
    </row>
    <row r="7" spans="2:5" ht="15">
      <c r="B7" t="s">
        <v>318</v>
      </c>
    </row>
    <row r="10" spans="2:5">
      <c r="B10" s="12" t="s">
        <v>16</v>
      </c>
      <c r="C10" t="s">
        <v>27</v>
      </c>
    </row>
    <row r="12" spans="2:5">
      <c r="B12" s="12" t="s">
        <v>314</v>
      </c>
      <c r="C12" t="s">
        <v>316</v>
      </c>
    </row>
    <row r="13" spans="2:5">
      <c r="B13" s="13" t="s">
        <v>23</v>
      </c>
      <c r="C13" s="15">
        <v>806</v>
      </c>
    </row>
    <row r="14" spans="2:5">
      <c r="B14" s="13" t="s">
        <v>19</v>
      </c>
      <c r="C14" s="15">
        <v>1502</v>
      </c>
    </row>
    <row r="15" spans="2:5">
      <c r="B15" s="13" t="s">
        <v>315</v>
      </c>
      <c r="C15" s="14">
        <v>2308</v>
      </c>
    </row>
    <row r="20" spans="2:4">
      <c r="B20" s="12" t="s">
        <v>16</v>
      </c>
      <c r="C20" t="s">
        <v>27</v>
      </c>
    </row>
    <row r="22" spans="2:4">
      <c r="B22" s="12" t="s">
        <v>314</v>
      </c>
      <c r="C22" t="s">
        <v>320</v>
      </c>
    </row>
    <row r="23" spans="2:4">
      <c r="B23" s="13" t="s">
        <v>22</v>
      </c>
      <c r="C23" s="14">
        <v>0</v>
      </c>
    </row>
    <row r="24" spans="2:4">
      <c r="B24" s="13" t="s">
        <v>26</v>
      </c>
      <c r="C24" s="14">
        <v>0</v>
      </c>
    </row>
    <row r="25" spans="2:4">
      <c r="B25" s="13" t="s">
        <v>18</v>
      </c>
      <c r="C25" s="14">
        <v>990</v>
      </c>
    </row>
    <row r="26" spans="2:4">
      <c r="B26" s="13" t="s">
        <v>315</v>
      </c>
      <c r="C26" s="14">
        <v>990</v>
      </c>
      <c r="D26" s="15">
        <f>GETPIVOTDATA("EA Play Season Pass
Price",$B$22)</f>
        <v>990</v>
      </c>
    </row>
    <row r="30" spans="2:4">
      <c r="B30" t="s">
        <v>321</v>
      </c>
    </row>
    <row r="34" spans="2:4">
      <c r="B34" s="12" t="s">
        <v>16</v>
      </c>
      <c r="C34" t="s">
        <v>27</v>
      </c>
    </row>
    <row r="36" spans="2:4">
      <c r="B36" s="12" t="s">
        <v>314</v>
      </c>
      <c r="C36" t="s">
        <v>322</v>
      </c>
    </row>
    <row r="37" spans="2:4">
      <c r="B37" s="13" t="s">
        <v>22</v>
      </c>
      <c r="C37" s="14">
        <v>0</v>
      </c>
    </row>
    <row r="38" spans="2:4">
      <c r="B38" s="13" t="s">
        <v>26</v>
      </c>
      <c r="C38" s="14">
        <v>480</v>
      </c>
    </row>
    <row r="39" spans="2:4">
      <c r="B39" s="13" t="s">
        <v>18</v>
      </c>
      <c r="C39" s="14">
        <v>660</v>
      </c>
    </row>
    <row r="40" spans="2:4">
      <c r="B40" s="13" t="s">
        <v>315</v>
      </c>
      <c r="C40" s="14">
        <v>1140</v>
      </c>
      <c r="D40" s="15">
        <f>GETPIVOTDATA("Minecraft Season Pass Price",$B$36)</f>
        <v>1140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U649"/>
  <sheetViews>
    <sheetView showGridLines="0" showRowColHeaders="0" tabSelected="1" zoomScale="80" zoomScaleNormal="80" workbookViewId="0">
      <selection activeCell="P1" sqref="P1"/>
    </sheetView>
  </sheetViews>
  <sheetFormatPr defaultRowHeight="14.25"/>
  <cols>
    <col min="1" max="1" width="21" style="4" customWidth="1"/>
    <col min="2" max="2" width="3.625" customWidth="1"/>
    <col min="12" max="12" width="6.625" customWidth="1"/>
  </cols>
  <sheetData>
    <row r="1" spans="1:20" ht="15" customHeight="1">
      <c r="T1" s="24"/>
    </row>
    <row r="2" spans="1:20" s="18" customFormat="1" ht="53.25" customHeight="1" thickBot="1">
      <c r="A2" s="21"/>
      <c r="C2" s="22" t="s">
        <v>319</v>
      </c>
    </row>
    <row r="3" spans="1:20" s="7" customFormat="1" ht="8.25" customHeight="1" thickTop="1">
      <c r="A3" s="4"/>
      <c r="C3" s="17"/>
    </row>
    <row r="4" spans="1:20" s="7" customFormat="1" ht="8.25" customHeight="1">
      <c r="A4" s="4"/>
      <c r="C4" s="17"/>
    </row>
    <row r="5" spans="1:20" s="7" customFormat="1" ht="8.25" customHeight="1">
      <c r="A5" s="4"/>
    </row>
    <row r="6" spans="1:20" s="7" customFormat="1" ht="7.5" customHeight="1">
      <c r="A6" s="4"/>
    </row>
    <row r="7" spans="1:20" s="7" customFormat="1" ht="10.5" customHeight="1">
      <c r="A7" s="4"/>
    </row>
    <row r="8" spans="1:20" s="7" customFormat="1" ht="9.75" customHeight="1">
      <c r="A8" s="4"/>
    </row>
    <row r="9" spans="1:20" s="7" customFormat="1" ht="15" customHeight="1">
      <c r="A9" s="4"/>
    </row>
    <row r="10" spans="1:20" s="7" customFormat="1">
      <c r="A10" s="4"/>
    </row>
    <row r="11" spans="1:20" s="7" customFormat="1">
      <c r="A11" s="4"/>
      <c r="N11" s="19"/>
    </row>
    <row r="12" spans="1:20" s="7" customFormat="1">
      <c r="A12" s="4"/>
      <c r="P12" s="19"/>
    </row>
    <row r="13" spans="1:20" s="7" customFormat="1">
      <c r="A13" s="4"/>
    </row>
    <row r="14" spans="1:20" s="7" customFormat="1">
      <c r="A14" s="4"/>
    </row>
    <row r="15" spans="1:20" s="7" customFormat="1">
      <c r="A15" s="4"/>
    </row>
    <row r="16" spans="1:20" s="7" customFormat="1">
      <c r="A16" s="4"/>
      <c r="Q16" s="19"/>
    </row>
    <row r="17" spans="1:21" s="7" customFormat="1">
      <c r="A17" s="4"/>
      <c r="T17" s="19"/>
    </row>
    <row r="18" spans="1:21" s="7" customFormat="1">
      <c r="A18" s="4"/>
      <c r="R18" s="19"/>
      <c r="U18" s="23"/>
    </row>
    <row r="19" spans="1:21" s="7" customFormat="1">
      <c r="A19" s="4"/>
      <c r="N19" s="20"/>
    </row>
    <row r="20" spans="1:21" s="7" customFormat="1">
      <c r="A20" s="4"/>
      <c r="L20" s="19"/>
    </row>
    <row r="21" spans="1:21" s="7" customFormat="1">
      <c r="A21" s="4"/>
      <c r="K21" s="19"/>
    </row>
    <row r="22" spans="1:21" s="7" customFormat="1">
      <c r="A22" s="4"/>
    </row>
    <row r="23" spans="1:21" s="7" customFormat="1">
      <c r="A23" s="4"/>
    </row>
    <row r="24" spans="1:21" s="7" customFormat="1">
      <c r="A24" s="4"/>
    </row>
    <row r="25" spans="1:21" s="7" customFormat="1">
      <c r="A25" s="4"/>
    </row>
    <row r="26" spans="1:21" s="7" customFormat="1">
      <c r="A26" s="4"/>
    </row>
    <row r="27" spans="1:21" s="7" customFormat="1">
      <c r="A27" s="4"/>
    </row>
    <row r="28" spans="1:21" s="7" customFormat="1">
      <c r="A28" s="4"/>
    </row>
    <row r="29" spans="1:21" s="7" customFormat="1">
      <c r="A29" s="4"/>
    </row>
    <row r="30" spans="1:21" s="7" customFormat="1">
      <c r="A30" s="4"/>
    </row>
    <row r="31" spans="1:21" s="7" customFormat="1">
      <c r="A31" s="4"/>
    </row>
    <row r="32" spans="1:2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  <row r="391" spans="1:1" s="7" customFormat="1">
      <c r="A391" s="4"/>
    </row>
    <row r="392" spans="1:1" s="7" customFormat="1">
      <c r="A392" s="4"/>
    </row>
    <row r="393" spans="1:1" s="7" customFormat="1">
      <c r="A393" s="4"/>
    </row>
    <row r="394" spans="1:1" s="7" customFormat="1">
      <c r="A394" s="4"/>
    </row>
    <row r="395" spans="1:1" s="7" customFormat="1">
      <c r="A395" s="4"/>
    </row>
    <row r="396" spans="1:1" s="7" customFormat="1">
      <c r="A396" s="4"/>
    </row>
    <row r="397" spans="1:1" s="7" customFormat="1">
      <c r="A397" s="4"/>
    </row>
    <row r="398" spans="1:1" s="7" customFormat="1">
      <c r="A398" s="4"/>
    </row>
    <row r="399" spans="1:1" s="7" customFormat="1">
      <c r="A399" s="4"/>
    </row>
    <row r="400" spans="1:1" s="7" customFormat="1">
      <c r="A400" s="4"/>
    </row>
    <row r="401" spans="1:1" s="7" customFormat="1">
      <c r="A401" s="4"/>
    </row>
    <row r="402" spans="1:1" s="7" customFormat="1">
      <c r="A402" s="4"/>
    </row>
    <row r="403" spans="1:1" s="7" customFormat="1">
      <c r="A403" s="4"/>
    </row>
    <row r="404" spans="1:1" s="7" customFormat="1">
      <c r="A404" s="4"/>
    </row>
    <row r="405" spans="1:1" s="7" customFormat="1">
      <c r="A405" s="4"/>
    </row>
    <row r="406" spans="1:1" s="7" customFormat="1">
      <c r="A406" s="4"/>
    </row>
    <row r="407" spans="1:1" s="7" customFormat="1">
      <c r="A407" s="4"/>
    </row>
    <row r="408" spans="1:1" s="7" customFormat="1">
      <c r="A408" s="4"/>
    </row>
    <row r="409" spans="1:1" s="7" customFormat="1">
      <c r="A409" s="4"/>
    </row>
    <row r="410" spans="1:1" s="7" customFormat="1">
      <c r="A410" s="4"/>
    </row>
    <row r="411" spans="1:1" s="7" customFormat="1">
      <c r="A411" s="4"/>
    </row>
    <row r="412" spans="1:1" s="7" customFormat="1">
      <c r="A412" s="4"/>
    </row>
    <row r="413" spans="1:1" s="7" customFormat="1">
      <c r="A413" s="4"/>
    </row>
    <row r="414" spans="1:1" s="7" customFormat="1">
      <c r="A414" s="4"/>
    </row>
    <row r="415" spans="1:1" s="7" customFormat="1">
      <c r="A415" s="4"/>
    </row>
    <row r="416" spans="1:1" s="7" customFormat="1">
      <c r="A416" s="4"/>
    </row>
    <row r="417" spans="1:1" s="7" customFormat="1">
      <c r="A417" s="4"/>
    </row>
    <row r="418" spans="1:1" s="7" customFormat="1">
      <c r="A418" s="4"/>
    </row>
    <row r="419" spans="1:1" s="7" customFormat="1">
      <c r="A419" s="4"/>
    </row>
    <row r="420" spans="1:1" s="7" customFormat="1">
      <c r="A420" s="4"/>
    </row>
    <row r="421" spans="1:1" s="7" customFormat="1">
      <c r="A421" s="4"/>
    </row>
    <row r="422" spans="1:1" s="7" customFormat="1">
      <c r="A422" s="4"/>
    </row>
    <row r="423" spans="1:1" s="7" customFormat="1">
      <c r="A423" s="4"/>
    </row>
    <row r="424" spans="1:1" s="7" customFormat="1">
      <c r="A424" s="4"/>
    </row>
    <row r="425" spans="1:1" s="7" customFormat="1">
      <c r="A425" s="4"/>
    </row>
    <row r="426" spans="1:1" s="7" customFormat="1">
      <c r="A426" s="4"/>
    </row>
    <row r="427" spans="1:1" s="7" customFormat="1">
      <c r="A427" s="4"/>
    </row>
    <row r="428" spans="1:1" s="7" customFormat="1">
      <c r="A428" s="4"/>
    </row>
    <row r="429" spans="1:1" s="7" customFormat="1">
      <c r="A429" s="4"/>
    </row>
    <row r="430" spans="1:1" s="7" customFormat="1">
      <c r="A430" s="4"/>
    </row>
    <row r="431" spans="1:1" s="7" customFormat="1">
      <c r="A431" s="4"/>
    </row>
    <row r="432" spans="1:1" s="7" customFormat="1">
      <c r="A432" s="4"/>
    </row>
    <row r="433" spans="1:1" s="7" customFormat="1">
      <c r="A433" s="4"/>
    </row>
    <row r="434" spans="1:1" s="7" customFormat="1">
      <c r="A434" s="4"/>
    </row>
    <row r="435" spans="1:1" s="7" customFormat="1">
      <c r="A435" s="4"/>
    </row>
    <row r="436" spans="1:1" s="7" customFormat="1">
      <c r="A436" s="4"/>
    </row>
    <row r="437" spans="1:1" s="7" customFormat="1">
      <c r="A437" s="4"/>
    </row>
    <row r="438" spans="1:1" s="7" customFormat="1">
      <c r="A438" s="4"/>
    </row>
    <row r="439" spans="1:1" s="7" customFormat="1">
      <c r="A439" s="4"/>
    </row>
    <row r="440" spans="1:1" s="7" customFormat="1">
      <c r="A440" s="4"/>
    </row>
    <row r="441" spans="1:1" s="7" customFormat="1">
      <c r="A441" s="4"/>
    </row>
    <row r="442" spans="1:1" s="7" customFormat="1">
      <c r="A442" s="4"/>
    </row>
    <row r="443" spans="1:1" s="7" customFormat="1">
      <c r="A443" s="4"/>
    </row>
    <row r="444" spans="1:1" s="7" customFormat="1">
      <c r="A444" s="4"/>
    </row>
    <row r="445" spans="1:1" s="7" customFormat="1">
      <c r="A445" s="4"/>
    </row>
    <row r="446" spans="1:1" s="7" customFormat="1">
      <c r="A446" s="4"/>
    </row>
    <row r="447" spans="1:1" s="7" customFormat="1">
      <c r="A447" s="4"/>
    </row>
    <row r="448" spans="1:1" s="7" customFormat="1">
      <c r="A448" s="4"/>
    </row>
    <row r="449" spans="1:1" s="7" customFormat="1">
      <c r="A449" s="4"/>
    </row>
    <row r="450" spans="1:1" s="7" customFormat="1">
      <c r="A450" s="4"/>
    </row>
    <row r="451" spans="1:1" s="7" customFormat="1">
      <c r="A451" s="4"/>
    </row>
    <row r="452" spans="1:1" s="7" customFormat="1">
      <c r="A452" s="4"/>
    </row>
    <row r="453" spans="1:1" s="7" customFormat="1">
      <c r="A453" s="4"/>
    </row>
    <row r="454" spans="1:1" s="7" customFormat="1">
      <c r="A454" s="4"/>
    </row>
    <row r="455" spans="1:1" s="7" customFormat="1">
      <c r="A455" s="4"/>
    </row>
    <row r="456" spans="1:1" s="7" customFormat="1">
      <c r="A456" s="4"/>
    </row>
    <row r="457" spans="1:1" s="7" customFormat="1">
      <c r="A457" s="4"/>
    </row>
    <row r="458" spans="1:1" s="7" customFormat="1">
      <c r="A458" s="4"/>
    </row>
    <row r="459" spans="1:1" s="7" customFormat="1">
      <c r="A459" s="4"/>
    </row>
    <row r="460" spans="1:1" s="7" customFormat="1">
      <c r="A460" s="4"/>
    </row>
    <row r="461" spans="1:1" s="7" customFormat="1">
      <c r="A461" s="4"/>
    </row>
    <row r="462" spans="1:1" s="7" customFormat="1">
      <c r="A462" s="4"/>
    </row>
    <row r="463" spans="1:1" s="7" customFormat="1">
      <c r="A463" s="4"/>
    </row>
    <row r="464" spans="1:1" s="7" customFormat="1">
      <c r="A464" s="4"/>
    </row>
    <row r="465" spans="1:1" s="7" customFormat="1">
      <c r="A465" s="4"/>
    </row>
    <row r="466" spans="1:1" s="7" customFormat="1">
      <c r="A466" s="4"/>
    </row>
    <row r="467" spans="1:1" s="7" customFormat="1">
      <c r="A467" s="4"/>
    </row>
    <row r="468" spans="1:1" s="7" customFormat="1">
      <c r="A468" s="4"/>
    </row>
    <row r="469" spans="1:1" s="7" customFormat="1">
      <c r="A469" s="4"/>
    </row>
    <row r="470" spans="1:1" s="7" customFormat="1">
      <c r="A470" s="4"/>
    </row>
    <row r="471" spans="1:1" s="7" customFormat="1">
      <c r="A471" s="4"/>
    </row>
    <row r="472" spans="1:1" s="7" customFormat="1">
      <c r="A472" s="4"/>
    </row>
    <row r="473" spans="1:1" s="7" customFormat="1">
      <c r="A473" s="4"/>
    </row>
    <row r="474" spans="1:1" s="7" customFormat="1">
      <c r="A474" s="4"/>
    </row>
    <row r="475" spans="1:1" s="7" customFormat="1">
      <c r="A475" s="4"/>
    </row>
    <row r="476" spans="1:1" s="7" customFormat="1">
      <c r="A476" s="4"/>
    </row>
    <row r="477" spans="1:1" s="7" customFormat="1">
      <c r="A477" s="4"/>
    </row>
    <row r="478" spans="1:1" s="7" customFormat="1">
      <c r="A478" s="4"/>
    </row>
    <row r="479" spans="1:1" s="7" customFormat="1">
      <c r="A479" s="4"/>
    </row>
    <row r="480" spans="1:1" s="7" customFormat="1">
      <c r="A480" s="4"/>
    </row>
    <row r="481" spans="1:1" s="7" customFormat="1">
      <c r="A481" s="4"/>
    </row>
    <row r="482" spans="1:1" s="7" customFormat="1">
      <c r="A482" s="4"/>
    </row>
    <row r="483" spans="1:1" s="7" customFormat="1">
      <c r="A483" s="4"/>
    </row>
    <row r="484" spans="1:1" s="7" customFormat="1">
      <c r="A484" s="4"/>
    </row>
    <row r="485" spans="1:1" s="7" customFormat="1">
      <c r="A485" s="4"/>
    </row>
    <row r="486" spans="1:1" s="7" customFormat="1">
      <c r="A486" s="4"/>
    </row>
    <row r="487" spans="1:1" s="7" customFormat="1">
      <c r="A487" s="4"/>
    </row>
    <row r="488" spans="1:1" s="7" customFormat="1">
      <c r="A488" s="4"/>
    </row>
    <row r="489" spans="1:1" s="7" customFormat="1">
      <c r="A489" s="4"/>
    </row>
    <row r="490" spans="1:1" s="7" customFormat="1">
      <c r="A490" s="4"/>
    </row>
    <row r="491" spans="1:1" s="7" customFormat="1">
      <c r="A491" s="4"/>
    </row>
    <row r="492" spans="1:1" s="7" customFormat="1">
      <c r="A492" s="4"/>
    </row>
    <row r="493" spans="1:1" s="7" customFormat="1">
      <c r="A493" s="4"/>
    </row>
    <row r="494" spans="1:1" s="7" customFormat="1">
      <c r="A494" s="4"/>
    </row>
    <row r="495" spans="1:1" s="7" customFormat="1">
      <c r="A495" s="4"/>
    </row>
    <row r="496" spans="1:1" s="7" customFormat="1">
      <c r="A496" s="4"/>
    </row>
    <row r="497" spans="1:1" s="7" customFormat="1">
      <c r="A497" s="4"/>
    </row>
    <row r="498" spans="1:1" s="7" customFormat="1">
      <c r="A498" s="4"/>
    </row>
    <row r="499" spans="1:1" s="7" customFormat="1">
      <c r="A499" s="4"/>
    </row>
    <row r="500" spans="1:1" s="7" customFormat="1">
      <c r="A500" s="4"/>
    </row>
    <row r="501" spans="1:1" s="7" customFormat="1">
      <c r="A501" s="4"/>
    </row>
    <row r="502" spans="1:1" s="7" customFormat="1">
      <c r="A502" s="4"/>
    </row>
    <row r="503" spans="1:1" s="7" customFormat="1">
      <c r="A503" s="4"/>
    </row>
    <row r="504" spans="1:1" s="7" customFormat="1">
      <c r="A504" s="4"/>
    </row>
    <row r="505" spans="1:1" s="7" customFormat="1">
      <c r="A505" s="4"/>
    </row>
    <row r="506" spans="1:1" s="7" customFormat="1">
      <c r="A506" s="4"/>
    </row>
    <row r="507" spans="1:1" s="7" customFormat="1">
      <c r="A507" s="4"/>
    </row>
    <row r="508" spans="1:1" s="7" customFormat="1">
      <c r="A508" s="4"/>
    </row>
    <row r="509" spans="1:1" s="7" customFormat="1">
      <c r="A509" s="4"/>
    </row>
    <row r="510" spans="1:1" s="7" customFormat="1">
      <c r="A510" s="4"/>
    </row>
    <row r="511" spans="1:1" s="7" customFormat="1">
      <c r="A511" s="4"/>
    </row>
    <row r="512" spans="1:1" s="7" customFormat="1">
      <c r="A512" s="4"/>
    </row>
    <row r="513" spans="1:1" s="7" customFormat="1">
      <c r="A513" s="4"/>
    </row>
    <row r="514" spans="1:1" s="7" customFormat="1">
      <c r="A514" s="4"/>
    </row>
    <row r="515" spans="1:1" s="7" customFormat="1">
      <c r="A515" s="4"/>
    </row>
    <row r="516" spans="1:1" s="7" customFormat="1">
      <c r="A516" s="4"/>
    </row>
    <row r="517" spans="1:1" s="7" customFormat="1">
      <c r="A517" s="4"/>
    </row>
    <row r="518" spans="1:1" s="7" customFormat="1">
      <c r="A518" s="4"/>
    </row>
    <row r="519" spans="1:1" s="7" customFormat="1">
      <c r="A519" s="4"/>
    </row>
    <row r="520" spans="1:1" s="7" customFormat="1">
      <c r="A520" s="4"/>
    </row>
    <row r="521" spans="1:1" s="7" customFormat="1">
      <c r="A521" s="4"/>
    </row>
    <row r="522" spans="1:1" s="7" customFormat="1">
      <c r="A522" s="4"/>
    </row>
    <row r="523" spans="1:1" s="7" customFormat="1">
      <c r="A523" s="4"/>
    </row>
    <row r="524" spans="1:1" s="7" customFormat="1">
      <c r="A524" s="4"/>
    </row>
    <row r="525" spans="1:1" s="7" customFormat="1">
      <c r="A525" s="4"/>
    </row>
    <row r="526" spans="1:1" s="7" customFormat="1">
      <c r="A526" s="4"/>
    </row>
    <row r="527" spans="1:1" s="7" customFormat="1">
      <c r="A527" s="4"/>
    </row>
    <row r="528" spans="1:1" s="7" customFormat="1">
      <c r="A528" s="4"/>
    </row>
    <row r="529" spans="1:1" s="7" customFormat="1">
      <c r="A529" s="4"/>
    </row>
    <row r="530" spans="1:1" s="7" customFormat="1">
      <c r="A530" s="4"/>
    </row>
    <row r="531" spans="1:1" s="7" customFormat="1">
      <c r="A531" s="4"/>
    </row>
    <row r="532" spans="1:1" s="7" customFormat="1">
      <c r="A532" s="4"/>
    </row>
    <row r="533" spans="1:1" s="7" customFormat="1">
      <c r="A533" s="4"/>
    </row>
    <row r="534" spans="1:1" s="7" customFormat="1">
      <c r="A534" s="4"/>
    </row>
    <row r="535" spans="1:1" s="7" customFormat="1">
      <c r="A535" s="4"/>
    </row>
    <row r="536" spans="1:1" s="7" customFormat="1">
      <c r="A536" s="4"/>
    </row>
    <row r="537" spans="1:1" s="7" customFormat="1">
      <c r="A537" s="4"/>
    </row>
    <row r="538" spans="1:1" s="7" customFormat="1">
      <c r="A538" s="4"/>
    </row>
    <row r="539" spans="1:1" s="7" customFormat="1">
      <c r="A539" s="4"/>
    </row>
    <row r="540" spans="1:1" s="7" customFormat="1">
      <c r="A540" s="4"/>
    </row>
    <row r="541" spans="1:1" s="7" customFormat="1">
      <c r="A541" s="4"/>
    </row>
    <row r="542" spans="1:1" s="7" customFormat="1">
      <c r="A542" s="4"/>
    </row>
    <row r="543" spans="1:1" s="7" customFormat="1">
      <c r="A543" s="4"/>
    </row>
    <row r="544" spans="1:1" s="7" customFormat="1">
      <c r="A544" s="4"/>
    </row>
    <row r="545" spans="1:1" s="7" customFormat="1">
      <c r="A545" s="4"/>
    </row>
    <row r="546" spans="1:1" s="7" customFormat="1">
      <c r="A546" s="4"/>
    </row>
    <row r="547" spans="1:1" s="7" customFormat="1">
      <c r="A547" s="4"/>
    </row>
    <row r="548" spans="1:1" s="7" customFormat="1">
      <c r="A548" s="4"/>
    </row>
    <row r="549" spans="1:1" s="7" customFormat="1">
      <c r="A549" s="4"/>
    </row>
    <row r="550" spans="1:1" s="7" customFormat="1">
      <c r="A550" s="4"/>
    </row>
    <row r="551" spans="1:1" s="7" customFormat="1">
      <c r="A551" s="4"/>
    </row>
    <row r="552" spans="1:1" s="7" customFormat="1">
      <c r="A552" s="4"/>
    </row>
    <row r="553" spans="1:1" s="7" customFormat="1">
      <c r="A553" s="4"/>
    </row>
    <row r="554" spans="1:1" s="7" customFormat="1">
      <c r="A554" s="4"/>
    </row>
    <row r="555" spans="1:1" s="7" customFormat="1">
      <c r="A555" s="4"/>
    </row>
    <row r="556" spans="1:1" s="7" customFormat="1">
      <c r="A556" s="4"/>
    </row>
    <row r="557" spans="1:1" s="7" customFormat="1">
      <c r="A557" s="4"/>
    </row>
    <row r="558" spans="1:1" s="7" customFormat="1">
      <c r="A558" s="4"/>
    </row>
    <row r="559" spans="1:1" s="7" customFormat="1">
      <c r="A559" s="4"/>
    </row>
    <row r="560" spans="1:1" s="7" customFormat="1">
      <c r="A560" s="4"/>
    </row>
    <row r="561" spans="1:1" s="7" customFormat="1">
      <c r="A561" s="4"/>
    </row>
    <row r="562" spans="1:1" s="7" customFormat="1">
      <c r="A562" s="4"/>
    </row>
    <row r="563" spans="1:1" s="7" customFormat="1">
      <c r="A563" s="4"/>
    </row>
    <row r="564" spans="1:1" s="7" customFormat="1">
      <c r="A564" s="4"/>
    </row>
    <row r="565" spans="1:1" s="7" customFormat="1">
      <c r="A565" s="4"/>
    </row>
    <row r="566" spans="1:1" s="7" customFormat="1">
      <c r="A566" s="4"/>
    </row>
    <row r="567" spans="1:1" s="7" customFormat="1">
      <c r="A567" s="4"/>
    </row>
    <row r="568" spans="1:1" s="7" customFormat="1">
      <c r="A568" s="4"/>
    </row>
    <row r="569" spans="1:1" s="7" customFormat="1">
      <c r="A569" s="4"/>
    </row>
    <row r="570" spans="1:1" s="7" customFormat="1">
      <c r="A570" s="4"/>
    </row>
    <row r="571" spans="1:1" s="7" customFormat="1">
      <c r="A571" s="4"/>
    </row>
    <row r="572" spans="1:1" s="7" customFormat="1">
      <c r="A572" s="4"/>
    </row>
    <row r="573" spans="1:1" s="7" customFormat="1">
      <c r="A573" s="4"/>
    </row>
    <row r="574" spans="1:1" s="7" customFormat="1">
      <c r="A574" s="4"/>
    </row>
    <row r="575" spans="1:1" s="7" customFormat="1">
      <c r="A575" s="4"/>
    </row>
    <row r="576" spans="1:1" s="7" customFormat="1">
      <c r="A576" s="4"/>
    </row>
    <row r="577" spans="1:1" s="7" customFormat="1">
      <c r="A577" s="4"/>
    </row>
    <row r="578" spans="1:1" s="7" customFormat="1">
      <c r="A578" s="4"/>
    </row>
    <row r="579" spans="1:1" s="7" customFormat="1">
      <c r="A579" s="4"/>
    </row>
    <row r="580" spans="1:1" s="7" customFormat="1">
      <c r="A580" s="4"/>
    </row>
    <row r="581" spans="1:1" s="7" customFormat="1">
      <c r="A581" s="4"/>
    </row>
    <row r="582" spans="1:1" s="7" customFormat="1">
      <c r="A582" s="4"/>
    </row>
    <row r="583" spans="1:1" s="7" customFormat="1">
      <c r="A583" s="4"/>
    </row>
    <row r="584" spans="1:1" s="7" customFormat="1">
      <c r="A584" s="4"/>
    </row>
    <row r="585" spans="1:1" s="7" customFormat="1">
      <c r="A585" s="4"/>
    </row>
    <row r="586" spans="1:1" s="7" customFormat="1">
      <c r="A586" s="4"/>
    </row>
    <row r="587" spans="1:1" s="7" customFormat="1">
      <c r="A587" s="4"/>
    </row>
    <row r="588" spans="1:1" s="7" customFormat="1">
      <c r="A588" s="4"/>
    </row>
    <row r="589" spans="1:1" s="7" customFormat="1">
      <c r="A589" s="4"/>
    </row>
    <row r="590" spans="1:1" s="7" customFormat="1">
      <c r="A590" s="4"/>
    </row>
    <row r="591" spans="1:1" s="7" customFormat="1">
      <c r="A591" s="4"/>
    </row>
    <row r="592" spans="1:1" s="7" customFormat="1">
      <c r="A592" s="4"/>
    </row>
    <row r="593" spans="1:1" s="7" customFormat="1">
      <c r="A593" s="4"/>
    </row>
    <row r="594" spans="1:1" s="7" customFormat="1">
      <c r="A594" s="4"/>
    </row>
    <row r="595" spans="1:1" s="7" customFormat="1">
      <c r="A595" s="4"/>
    </row>
    <row r="596" spans="1:1" s="7" customFormat="1">
      <c r="A596" s="4"/>
    </row>
    <row r="597" spans="1:1" s="7" customFormat="1">
      <c r="A597" s="4"/>
    </row>
    <row r="598" spans="1:1" s="7" customFormat="1">
      <c r="A598" s="4"/>
    </row>
    <row r="599" spans="1:1" s="7" customFormat="1">
      <c r="A599" s="4"/>
    </row>
    <row r="600" spans="1:1" s="7" customFormat="1">
      <c r="A600" s="4"/>
    </row>
    <row r="601" spans="1:1" s="7" customFormat="1">
      <c r="A601" s="4"/>
    </row>
    <row r="602" spans="1:1" s="7" customFormat="1">
      <c r="A602" s="4"/>
    </row>
    <row r="603" spans="1:1" s="7" customFormat="1">
      <c r="A603" s="4"/>
    </row>
    <row r="604" spans="1:1" s="7" customFormat="1">
      <c r="A604" s="4"/>
    </row>
    <row r="605" spans="1:1" s="7" customFormat="1">
      <c r="A605" s="4"/>
    </row>
    <row r="606" spans="1:1" s="7" customFormat="1">
      <c r="A606" s="4"/>
    </row>
    <row r="607" spans="1:1" s="7" customFormat="1">
      <c r="A607" s="4"/>
    </row>
    <row r="608" spans="1:1" s="7" customFormat="1">
      <c r="A608" s="4"/>
    </row>
    <row r="609" spans="1:1" s="7" customFormat="1">
      <c r="A609" s="4"/>
    </row>
    <row r="610" spans="1:1" s="7" customFormat="1">
      <c r="A610" s="4"/>
    </row>
    <row r="611" spans="1:1" s="7" customFormat="1">
      <c r="A611" s="4"/>
    </row>
    <row r="612" spans="1:1" s="7" customFormat="1">
      <c r="A612" s="4"/>
    </row>
    <row r="613" spans="1:1" s="7" customFormat="1">
      <c r="A613" s="4"/>
    </row>
    <row r="614" spans="1:1" s="7" customFormat="1">
      <c r="A614" s="4"/>
    </row>
    <row r="615" spans="1:1" s="7" customFormat="1">
      <c r="A615" s="4"/>
    </row>
    <row r="616" spans="1:1" s="7" customFormat="1">
      <c r="A616" s="4"/>
    </row>
    <row r="617" spans="1:1" s="7" customFormat="1">
      <c r="A617" s="4"/>
    </row>
    <row r="618" spans="1:1" s="7" customFormat="1">
      <c r="A618" s="4"/>
    </row>
    <row r="619" spans="1:1" s="7" customFormat="1">
      <c r="A619" s="4"/>
    </row>
    <row r="620" spans="1:1" s="7" customFormat="1">
      <c r="A620" s="4"/>
    </row>
    <row r="621" spans="1:1" s="7" customFormat="1">
      <c r="A621" s="4"/>
    </row>
    <row r="622" spans="1:1" s="7" customFormat="1">
      <c r="A622" s="4"/>
    </row>
    <row r="623" spans="1:1" s="7" customFormat="1">
      <c r="A623" s="4"/>
    </row>
    <row r="624" spans="1:1" s="7" customFormat="1">
      <c r="A624" s="4"/>
    </row>
    <row r="625" spans="1:1" s="7" customFormat="1">
      <c r="A625" s="4"/>
    </row>
    <row r="626" spans="1:1" s="7" customFormat="1">
      <c r="A626" s="4"/>
    </row>
    <row r="627" spans="1:1" s="7" customFormat="1">
      <c r="A627" s="4"/>
    </row>
    <row r="628" spans="1:1" s="7" customFormat="1">
      <c r="A628" s="4"/>
    </row>
    <row r="629" spans="1:1" s="7" customFormat="1">
      <c r="A629" s="4"/>
    </row>
    <row r="630" spans="1:1" s="7" customFormat="1">
      <c r="A630" s="4"/>
    </row>
    <row r="631" spans="1:1" s="7" customFormat="1">
      <c r="A631" s="4"/>
    </row>
    <row r="632" spans="1:1" s="7" customFormat="1">
      <c r="A632" s="4"/>
    </row>
    <row r="633" spans="1:1" s="7" customFormat="1">
      <c r="A633" s="4"/>
    </row>
    <row r="634" spans="1:1" s="7" customFormat="1">
      <c r="A634" s="4"/>
    </row>
    <row r="635" spans="1:1" s="7" customFormat="1">
      <c r="A635" s="4"/>
    </row>
    <row r="636" spans="1:1" s="7" customFormat="1">
      <c r="A636" s="4"/>
    </row>
    <row r="637" spans="1:1" s="7" customFormat="1">
      <c r="A637" s="4"/>
    </row>
    <row r="638" spans="1:1" s="7" customFormat="1">
      <c r="A638" s="4"/>
    </row>
    <row r="639" spans="1:1" s="7" customFormat="1">
      <c r="A639" s="4"/>
    </row>
    <row r="640" spans="1:1" s="7" customFormat="1">
      <c r="A640" s="4"/>
    </row>
    <row r="641" spans="1:1" s="7" customFormat="1">
      <c r="A641" s="4"/>
    </row>
    <row r="642" spans="1:1" s="7" customFormat="1">
      <c r="A642" s="4"/>
    </row>
    <row r="643" spans="1:1" s="7" customFormat="1">
      <c r="A643" s="4"/>
    </row>
    <row r="644" spans="1:1" s="7" customFormat="1">
      <c r="A644" s="4"/>
    </row>
    <row r="645" spans="1:1" s="7" customFormat="1">
      <c r="A645" s="4"/>
    </row>
    <row r="646" spans="1:1" s="7" customFormat="1">
      <c r="A646" s="4"/>
    </row>
    <row r="647" spans="1:1" s="7" customFormat="1">
      <c r="A647" s="4"/>
    </row>
    <row r="648" spans="1:1" s="7" customFormat="1">
      <c r="A648" s="4"/>
    </row>
    <row r="649" spans="1:1" s="7" customFormat="1">
      <c r="A649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9483571-f922-4e8e-9c1c-26f0a2252132"/>
    <ds:schemaRef ds:uri="851b35d3-0456-4d6a-bc2f-da927e91d15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Samsung</cp:lastModifiedBy>
  <dcterms:created xsi:type="dcterms:W3CDTF">2024-12-19T13:13:10Z</dcterms:created>
  <dcterms:modified xsi:type="dcterms:W3CDTF">2026-10-17T03:39:03Z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